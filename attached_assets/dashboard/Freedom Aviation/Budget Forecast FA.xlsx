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<sst xmlns="http://schemas.openxmlformats.org/spreadsheetml/2006/main" count="119" uniqueCount="74">
  <si>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</si>
  <si>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</si>
  <si>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</si>
  <si>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</si>
  <si>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</si>
  <si>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</si>
  <si>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</si>
  <si>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</si>
  <si>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</si>
  <si>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</si>
  <si>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</si>
  <si>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</si>
  <si>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Client to Revenue calculation</t>
  </si>
  <si>
    <t>Beginning Cash Balance</t>
  </si>
  <si>
    <t>Clients</t>
  </si>
  <si>
    <t>Revenue</t>
  </si>
  <si>
    <t>Subscription level</t>
  </si>
  <si>
    <t># of Planes</t>
  </si>
  <si>
    <t>Sales Subcription</t>
  </si>
  <si>
    <t>Total Clients</t>
  </si>
  <si>
    <t>Lease payment</t>
  </si>
  <si>
    <t xml:space="preserve">Revenue Calculated </t>
  </si>
  <si>
    <t>Flight Instruction</t>
  </si>
  <si>
    <t>Total Cash Available</t>
  </si>
  <si>
    <t>One-time Cost &amp; Expenses</t>
  </si>
  <si>
    <t>Subscription charge</t>
  </si>
  <si>
    <t>Lease Payment</t>
  </si>
  <si>
    <t>----------------</t>
  </si>
  <si>
    <t>Expenses Sub-Total</t>
  </si>
  <si>
    <t xml:space="preserve">Fixed Costs </t>
  </si>
  <si>
    <t xml:space="preserve">Lease </t>
  </si>
  <si>
    <t>Insurance Estimate</t>
  </si>
  <si>
    <t>SquareSpace Subsciption</t>
  </si>
  <si>
    <t>Google Workspace</t>
  </si>
  <si>
    <t>LegalZoom Yearly</t>
  </si>
  <si>
    <t>Salary</t>
  </si>
  <si>
    <t>Fixed Costs Sub-Total</t>
  </si>
  <si>
    <t xml:space="preserve">Variable Costs </t>
  </si>
  <si>
    <t>Cleaning Supplies</t>
  </si>
  <si>
    <t>TKS fluid 55 gallon drum</t>
  </si>
  <si>
    <t>Single gallon of TKS fluid</t>
  </si>
  <si>
    <t>12 pack of Prist Windscreen Cleaner</t>
  </si>
  <si>
    <t>36 pack of Microfibers</t>
  </si>
  <si>
    <t>Wash&amp;Wax cleaner 1 gallon</t>
  </si>
  <si>
    <t>Aviation Simple green</t>
  </si>
  <si>
    <t>Payment Processing</t>
  </si>
  <si>
    <t>Variable Costs Sub-Total</t>
  </si>
  <si>
    <t>Total Expenses</t>
  </si>
  <si>
    <t>Ending Cash Balance</t>
  </si>
  <si>
    <t>Personal CC Transactions</t>
  </si>
  <si>
    <t>LegalZoom</t>
  </si>
  <si>
    <t>Squarespace</t>
  </si>
  <si>
    <t>Colorado tax registration</t>
  </si>
  <si>
    <t>Total</t>
  </si>
  <si>
    <t>Item</t>
  </si>
  <si>
    <t>Cost per Unit</t>
  </si>
  <si>
    <t>Suggested Price</t>
  </si>
  <si>
    <t>Notes</t>
  </si>
  <si>
    <t>TKS Fluid (per gallon)</t>
  </si>
  <si>
    <t>55-gallon drum purchase pays off after ~14 gallons</t>
  </si>
  <si>
    <t>Oil – 15W-50 (per quart)</t>
  </si>
  <si>
    <t>Case of 6 = $110</t>
  </si>
  <si>
    <t>Oil – 20W-50 (per quart)</t>
  </si>
  <si>
    <t>Preferred for SR22T owners</t>
  </si>
  <si>
    <t>Oxygen</t>
  </si>
  <si>
    <t>$400–$1,000+</t>
  </si>
  <si>
    <t>TBD</t>
  </si>
  <si>
    <t>Consider monthly/yearly bottle rental or outsourcing until model stabilizes</t>
  </si>
  <si>
    <t>Windscreen Cleaner (per bottle)</t>
  </si>
  <si>
    <t>Included</t>
  </si>
  <si>
    <t>Usage-based, included in membership</t>
  </si>
  <si>
    <t>Microfiber Towels (bulk pack)</t>
  </si>
  <si>
    <t>Bug Scrub Pads (bulk pack)</t>
  </si>
  <si>
    <t>General Cleaning Supplies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</si>
</sst>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.00_);[Red]\(&quot;$&quot;#,##0.00\)"/>
  </numFmts>
  <fonts count="11">
    <font>
      <sz val="12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  <font>
      <color rgb="FF1A1D1E"/>
      <name val="Calibri"/>
      <scheme val="minor"/>
    </font>
    <font>
      <sz val="12.0"/>
      <color rgb="FF1A1D1E"/>
      <name val="Calibri"/>
    </font>
    <font>
      <b/>
      <sz val="12.0"/>
      <color theme="0"/>
      <name val="Calibri"/>
    </font>
    <font>
      <sz val="12.0"/>
      <color theme="0"/>
      <name val="Calibri"/>
    </font>
    <font>
      <sz val="12.0"/>
      <color rgb="FFFF0000"/>
      <name val="Calibri"/>
    </font>
    <font>
      <b/>
      <color theme="1"/>
      <name val="Calibri"/>
      <scheme val="minor"/>
    </font>
    <font>
      <b/>
      <color rgb="FF1A1D1E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757070"/>
        <bgColor rgb="FF757070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/>
      <right/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1" numFmtId="164" xfId="0" applyAlignment="1" applyFont="1" applyNumberFormat="1">
      <alignment horizontal="center"/>
    </xf>
    <xf borderId="1" fillId="2" fontId="1" numFmtId="164" xfId="0" applyAlignment="1" applyBorder="1" applyFill="1" applyFont="1" applyNumberFormat="1">
      <alignment horizontal="center"/>
    </xf>
    <xf borderId="1" fillId="2" fontId="2" numFmtId="0" xfId="0" applyBorder="1" applyFont="1"/>
    <xf borderId="0" fillId="0" fontId="1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center"/>
    </xf>
    <xf borderId="0" fillId="0" fontId="5" numFmtId="164" xfId="0" applyAlignment="1" applyFont="1" applyNumberFormat="1">
      <alignment horizontal="center" readingOrder="0"/>
    </xf>
    <xf borderId="2" fillId="2" fontId="1" numFmtId="164" xfId="0" applyAlignment="1" applyBorder="1" applyFont="1" applyNumberFormat="1">
      <alignment horizontal="center"/>
    </xf>
    <xf borderId="1" fillId="3" fontId="6" numFmtId="0" xfId="0" applyBorder="1" applyFill="1" applyFont="1"/>
    <xf borderId="1" fillId="3" fontId="7" numFmtId="0" xfId="0" applyBorder="1" applyFont="1"/>
    <xf borderId="0" fillId="0" fontId="8" numFmtId="0" xfId="0" applyFont="1"/>
    <xf quotePrefix="1"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9" numFmtId="0" xfId="0" applyAlignment="1" applyFont="1">
      <alignment readingOrder="0"/>
    </xf>
    <xf borderId="0" fillId="0" fontId="1" numFmtId="16" xfId="0" applyFont="1" applyNumberFormat="1"/>
    <xf borderId="0" fillId="0" fontId="4" numFmtId="0" xfId="0" applyAlignment="1" applyFont="1">
      <alignment readingOrder="0"/>
    </xf>
    <xf borderId="0" fillId="0" fontId="10" numFmtId="0" xfId="0" applyAlignment="1" applyFont="1">
      <alignment readingOrder="0"/>
    </xf>
    <xf borderId="1" fillId="4" fontId="2" numFmtId="0" xfId="0" applyBorder="1" applyFill="1" applyFon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78"/>
    <col customWidth="1" min="2" max="2" width="14.44"/>
    <col customWidth="1" min="3" max="3" width="11.44"/>
    <col customWidth="1" min="4" max="16" width="10.56"/>
    <col customWidth="1" min="17" max="17" width="20.78"/>
    <col customWidth="1" min="18" max="26" width="10.56"/>
  </cols>
  <sheetData>
    <row r="1" ht="15.75" customHeight="1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Q1" s="2" t="s">
        <v>12</v>
      </c>
    </row>
    <row r="2" ht="15.75" customHeight="1">
      <c r="A2" s="3" t="s">
        <v>13</v>
      </c>
      <c r="D2" s="4">
        <v>0.0</v>
      </c>
      <c r="E2" s="5">
        <f t="shared" ref="E2:O2" si="1">D45</f>
        <v>-5479.91</v>
      </c>
      <c r="F2" s="5">
        <f t="shared" si="1"/>
        <v>-3000</v>
      </c>
      <c r="G2" s="5">
        <f t="shared" si="1"/>
        <v>-2500</v>
      </c>
      <c r="H2" s="5">
        <f t="shared" si="1"/>
        <v>-2000</v>
      </c>
      <c r="I2" s="5">
        <f t="shared" si="1"/>
        <v>-500</v>
      </c>
      <c r="J2" s="5">
        <f t="shared" si="1"/>
        <v>0</v>
      </c>
      <c r="K2" s="5">
        <f t="shared" si="1"/>
        <v>500</v>
      </c>
      <c r="L2" s="5">
        <f t="shared" si="1"/>
        <v>1000</v>
      </c>
      <c r="M2" s="5">
        <f t="shared" si="1"/>
        <v>1500</v>
      </c>
      <c r="N2" s="5">
        <f t="shared" si="1"/>
        <v>2000</v>
      </c>
      <c r="O2" s="5">
        <f t="shared" si="1"/>
        <v>6000</v>
      </c>
      <c r="P2" s="6"/>
      <c r="Q2" s="7" t="s">
        <v>14</v>
      </c>
      <c r="S2" s="3">
        <v>1.0</v>
      </c>
    </row>
    <row r="3" ht="15.75" customHeight="1">
      <c r="A3" s="3" t="s">
        <v>15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Q3" s="7" t="s">
        <v>16</v>
      </c>
      <c r="R3" s="3">
        <v>500.0</v>
      </c>
      <c r="S3" s="3">
        <v>1000.0</v>
      </c>
      <c r="T3" s="3">
        <v>2000.0</v>
      </c>
    </row>
    <row r="4" ht="15.75" customHeight="1">
      <c r="B4" s="8" t="s">
        <v>17</v>
      </c>
      <c r="D4" s="9">
        <v>1.0</v>
      </c>
      <c r="E4" s="9">
        <v>2.0</v>
      </c>
      <c r="F4" s="9">
        <v>3.0</v>
      </c>
      <c r="G4" s="9">
        <v>4.0</v>
      </c>
      <c r="H4" s="9">
        <v>7.0</v>
      </c>
      <c r="I4" s="9">
        <v>8.0</v>
      </c>
      <c r="J4" s="9">
        <v>9.0</v>
      </c>
      <c r="K4" s="9">
        <v>10.0</v>
      </c>
      <c r="L4" s="9">
        <v>11.0</v>
      </c>
      <c r="M4" s="9">
        <v>12.0</v>
      </c>
      <c r="N4" s="9">
        <v>20.0</v>
      </c>
      <c r="O4" s="9">
        <v>25.0</v>
      </c>
    </row>
    <row r="5" ht="15.75" customHeight="1">
      <c r="B5" s="10" t="s">
        <v>18</v>
      </c>
      <c r="D5" s="11">
        <f>SUM(D4*R11)</f>
        <v>500</v>
      </c>
      <c r="E5" s="11">
        <f>SUM(E4*R11)</f>
        <v>1000</v>
      </c>
      <c r="F5" s="11">
        <f>SUM(F4*R11)</f>
        <v>1500</v>
      </c>
      <c r="G5" s="11">
        <f>SUM(G4*R11)</f>
        <v>2000</v>
      </c>
      <c r="H5" s="11">
        <f>SUM(H4*R11)</f>
        <v>3500</v>
      </c>
      <c r="I5" s="11">
        <f>SUM(I4*R11)</f>
        <v>4000</v>
      </c>
      <c r="J5" s="11">
        <f>SUM(J4*R11)</f>
        <v>4500</v>
      </c>
      <c r="K5" s="11">
        <f>SUM(K4*R11)</f>
        <v>5000</v>
      </c>
      <c r="L5" s="11">
        <f>SUM(L4*R11)</f>
        <v>5500</v>
      </c>
      <c r="M5" s="11">
        <f>SUM(M4*R11)</f>
        <v>6000</v>
      </c>
      <c r="N5" s="11">
        <f>SUM(N4*R11)</f>
        <v>10000</v>
      </c>
      <c r="O5" s="11">
        <f>SUM(O4*R11)</f>
        <v>12500</v>
      </c>
      <c r="Q5" s="3" t="s">
        <v>19</v>
      </c>
      <c r="R5" s="3">
        <f>SUM(R2:T2)</f>
        <v>1</v>
      </c>
    </row>
    <row r="6" ht="15.75" customHeight="1">
      <c r="B6" s="8" t="s">
        <v>20</v>
      </c>
      <c r="D6" s="12">
        <f>SUM(R12*D4)</f>
        <v>0</v>
      </c>
      <c r="E6" s="12">
        <f>SUM(R12*E4)</f>
        <v>0</v>
      </c>
      <c r="F6" s="12">
        <f>SUM(R12*F4)</f>
        <v>0</v>
      </c>
      <c r="G6" s="12">
        <f>SUM(R12*G4)</f>
        <v>0</v>
      </c>
      <c r="H6" s="12">
        <f>SUM(R12*H4)</f>
        <v>0</v>
      </c>
      <c r="I6" s="12">
        <f>SUM(R12*I4)</f>
        <v>0</v>
      </c>
      <c r="J6" s="12">
        <f>SUM(R12*J4)</f>
        <v>0</v>
      </c>
      <c r="K6" s="12">
        <f>SUM(R12*K4)</f>
        <v>0</v>
      </c>
      <c r="L6" s="12">
        <f>SUM(R12*L4)</f>
        <v>0</v>
      </c>
      <c r="M6" s="12">
        <f>SUM(R12*M4)</f>
        <v>0</v>
      </c>
      <c r="N6" s="12">
        <f>SUM(R12*N4)</f>
        <v>0</v>
      </c>
      <c r="O6" s="12">
        <f>SUM(R12*O4)</f>
        <v>0</v>
      </c>
      <c r="Q6" s="2" t="s">
        <v>21</v>
      </c>
      <c r="R6" s="3">
        <f>(R3*R2)+(S3*S2)+(T3*T2)</f>
        <v>1000</v>
      </c>
    </row>
    <row r="7" ht="15.75" customHeight="1">
      <c r="B7" s="8" t="s">
        <v>22</v>
      </c>
      <c r="D7" s="12">
        <v>0.0</v>
      </c>
      <c r="E7" s="12">
        <v>0.0</v>
      </c>
      <c r="F7" s="12">
        <v>0.0</v>
      </c>
      <c r="G7" s="12">
        <v>0.0</v>
      </c>
      <c r="H7" s="12">
        <v>0.0</v>
      </c>
      <c r="I7" s="12">
        <v>0.0</v>
      </c>
      <c r="J7" s="12">
        <v>0.0</v>
      </c>
      <c r="K7" s="12">
        <v>0.0</v>
      </c>
      <c r="L7" s="12">
        <v>0.0</v>
      </c>
      <c r="M7" s="12">
        <v>0.0</v>
      </c>
      <c r="N7" s="12">
        <v>0.0</v>
      </c>
      <c r="O7" s="12">
        <v>0.0</v>
      </c>
      <c r="Q7" s="2"/>
    </row>
    <row r="8" ht="15.75" customHeight="1">
      <c r="A8" s="3" t="s">
        <v>23</v>
      </c>
      <c r="D8" s="13">
        <f t="shared" ref="D8:O8" si="2">SUM(D5:D7)</f>
        <v>500</v>
      </c>
      <c r="E8" s="13">
        <f t="shared" si="2"/>
        <v>1000</v>
      </c>
      <c r="F8" s="13">
        <f t="shared" si="2"/>
        <v>1500</v>
      </c>
      <c r="G8" s="13">
        <f t="shared" si="2"/>
        <v>2000</v>
      </c>
      <c r="H8" s="13">
        <f t="shared" si="2"/>
        <v>3500</v>
      </c>
      <c r="I8" s="13">
        <f t="shared" si="2"/>
        <v>4000</v>
      </c>
      <c r="J8" s="13">
        <f t="shared" si="2"/>
        <v>4500</v>
      </c>
      <c r="K8" s="13">
        <f t="shared" si="2"/>
        <v>5000</v>
      </c>
      <c r="L8" s="13">
        <f t="shared" si="2"/>
        <v>5500</v>
      </c>
      <c r="M8" s="13">
        <f t="shared" si="2"/>
        <v>6000</v>
      </c>
      <c r="N8" s="13">
        <f t="shared" si="2"/>
        <v>10000</v>
      </c>
      <c r="O8" s="13">
        <f t="shared" si="2"/>
        <v>12500</v>
      </c>
    </row>
    <row r="9" ht="15.75" customHeight="1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B11" s="14" t="s">
        <v>24</v>
      </c>
      <c r="C11" s="1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Q11" s="8" t="s">
        <v>25</v>
      </c>
      <c r="R11" s="8">
        <v>500.0</v>
      </c>
    </row>
    <row r="12" ht="15.75" customHeight="1">
      <c r="B12" s="16"/>
      <c r="D12" s="12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Q12" s="8" t="s">
        <v>26</v>
      </c>
      <c r="R12" s="8">
        <v>0.0</v>
      </c>
    </row>
    <row r="13" ht="15.75" customHeight="1">
      <c r="B13" s="16"/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</row>
    <row r="14" ht="15.75" customHeight="1">
      <c r="B14" s="16"/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</row>
    <row r="15" ht="15.75" customHeight="1">
      <c r="B15" s="16"/>
      <c r="D15" s="17" t="s">
        <v>27</v>
      </c>
      <c r="E15" s="17" t="s">
        <v>27</v>
      </c>
      <c r="F15" s="17" t="s">
        <v>27</v>
      </c>
      <c r="G15" s="17" t="s">
        <v>27</v>
      </c>
      <c r="H15" s="17" t="s">
        <v>27</v>
      </c>
      <c r="I15" s="17" t="s">
        <v>27</v>
      </c>
      <c r="J15" s="17" t="s">
        <v>27</v>
      </c>
      <c r="K15" s="17" t="s">
        <v>27</v>
      </c>
      <c r="L15" s="17" t="s">
        <v>27</v>
      </c>
      <c r="M15" s="17" t="s">
        <v>27</v>
      </c>
      <c r="N15" s="17" t="s">
        <v>27</v>
      </c>
      <c r="O15" s="17" t="s">
        <v>27</v>
      </c>
    </row>
    <row r="16" ht="15.75" customHeight="1">
      <c r="B16" s="2" t="s">
        <v>28</v>
      </c>
      <c r="D16" s="5">
        <f t="shared" ref="D16:O16" si="3">SUM(D12:D15)</f>
        <v>0</v>
      </c>
      <c r="E16" s="5">
        <f t="shared" si="3"/>
        <v>0</v>
      </c>
      <c r="F16" s="5">
        <f t="shared" si="3"/>
        <v>0</v>
      </c>
      <c r="G16" s="5">
        <f t="shared" si="3"/>
        <v>0</v>
      </c>
      <c r="H16" s="5">
        <f t="shared" si="3"/>
        <v>0</v>
      </c>
      <c r="I16" s="5">
        <f t="shared" si="3"/>
        <v>0</v>
      </c>
      <c r="J16" s="5">
        <f t="shared" si="3"/>
        <v>0</v>
      </c>
      <c r="K16" s="5">
        <f t="shared" si="3"/>
        <v>0</v>
      </c>
      <c r="L16" s="5">
        <f t="shared" si="3"/>
        <v>0</v>
      </c>
      <c r="M16" s="5">
        <f t="shared" si="3"/>
        <v>0</v>
      </c>
      <c r="N16" s="5">
        <f t="shared" si="3"/>
        <v>0</v>
      </c>
      <c r="O16" s="5">
        <f t="shared" si="3"/>
        <v>0</v>
      </c>
    </row>
    <row r="17" ht="15.75" customHeight="1"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B18" s="14" t="s">
        <v>29</v>
      </c>
      <c r="C18" s="1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B19" s="16"/>
      <c r="C19" s="8" t="s">
        <v>30</v>
      </c>
      <c r="D19" s="12">
        <f>SUM(R12*D4)</f>
        <v>0</v>
      </c>
      <c r="E19" s="12">
        <f>SUM(R12*E4)</f>
        <v>0</v>
      </c>
      <c r="F19" s="12">
        <f>SUM(R12*F4)</f>
        <v>0</v>
      </c>
      <c r="G19" s="12">
        <f>SUM(R12*G4)</f>
        <v>0</v>
      </c>
      <c r="H19" s="12">
        <f>SUM(R12*H4)</f>
        <v>0</v>
      </c>
      <c r="I19" s="12">
        <f>SUM(R12*I4)</f>
        <v>0</v>
      </c>
      <c r="J19" s="12">
        <f>SUM(R12*J4)</f>
        <v>0</v>
      </c>
      <c r="K19" s="12">
        <f>SUM(R12*K4)</f>
        <v>0</v>
      </c>
      <c r="L19" s="12">
        <f>SUM(R12*L4)</f>
        <v>0</v>
      </c>
      <c r="M19" s="12">
        <f>SUM(R12*M4)</f>
        <v>0</v>
      </c>
      <c r="N19" s="12">
        <f>SUM(R12*N4)</f>
        <v>0</v>
      </c>
      <c r="O19" s="12">
        <f>SUM(R12*O4)</f>
        <v>0</v>
      </c>
    </row>
    <row r="20" ht="15.75" customHeight="1">
      <c r="B20" s="16"/>
      <c r="C20" s="10" t="s">
        <v>31</v>
      </c>
      <c r="D20" s="12">
        <v>1000.0</v>
      </c>
      <c r="E20" s="12">
        <v>1000.0</v>
      </c>
      <c r="F20" s="12">
        <v>1000.0</v>
      </c>
      <c r="G20" s="12">
        <v>1000.0</v>
      </c>
      <c r="H20" s="12">
        <v>1000.0</v>
      </c>
      <c r="I20" s="12">
        <v>1000.0</v>
      </c>
      <c r="J20" s="12">
        <v>1000.0</v>
      </c>
      <c r="K20" s="12">
        <v>1000.0</v>
      </c>
      <c r="L20" s="12">
        <v>1000.0</v>
      </c>
      <c r="M20" s="12">
        <v>1000.0</v>
      </c>
      <c r="N20" s="12">
        <v>1000.0</v>
      </c>
      <c r="O20" s="12">
        <v>1000.0</v>
      </c>
    </row>
    <row r="21" ht="15.75" customHeight="1">
      <c r="B21" s="16"/>
      <c r="C21" s="8" t="s">
        <v>32</v>
      </c>
      <c r="D21" s="12">
        <v>276.0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</row>
    <row r="22" ht="24.0" customHeight="1">
      <c r="B22" s="16"/>
      <c r="C22" s="8" t="s">
        <v>33</v>
      </c>
      <c r="D22" s="12">
        <v>252.0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</row>
    <row r="23" ht="22.5" customHeight="1">
      <c r="B23" s="16"/>
      <c r="C23" s="8" t="s">
        <v>34</v>
      </c>
      <c r="D23" s="12">
        <v>250.0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</row>
    <row r="24" ht="15.75" customHeight="1">
      <c r="B24" s="16"/>
      <c r="C24" s="8" t="s">
        <v>35</v>
      </c>
      <c r="D24" s="12">
        <v>3000.0</v>
      </c>
      <c r="E24" s="12">
        <v>3000.0</v>
      </c>
      <c r="F24" s="12">
        <v>3000.0</v>
      </c>
      <c r="G24" s="12">
        <v>3000.0</v>
      </c>
      <c r="H24" s="12">
        <v>3000.0</v>
      </c>
      <c r="I24" s="12">
        <v>3000.0</v>
      </c>
      <c r="J24" s="12">
        <v>3000.0</v>
      </c>
      <c r="K24" s="12">
        <v>3000.0</v>
      </c>
      <c r="L24" s="12">
        <v>3000.0</v>
      </c>
      <c r="M24" s="12">
        <v>3000.0</v>
      </c>
      <c r="N24" s="12">
        <v>3000.0</v>
      </c>
      <c r="O24" s="12">
        <v>3000.0</v>
      </c>
    </row>
    <row r="25" ht="15.75" customHeight="1">
      <c r="B25" s="16"/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</row>
    <row r="26" ht="15.75" customHeight="1">
      <c r="D26" s="17" t="s">
        <v>27</v>
      </c>
      <c r="E26" s="17" t="s">
        <v>27</v>
      </c>
      <c r="F26" s="17" t="s">
        <v>27</v>
      </c>
      <c r="G26" s="17" t="s">
        <v>27</v>
      </c>
      <c r="H26" s="17" t="s">
        <v>27</v>
      </c>
      <c r="I26" s="17" t="s">
        <v>27</v>
      </c>
      <c r="J26" s="17" t="s">
        <v>27</v>
      </c>
      <c r="K26" s="17" t="s">
        <v>27</v>
      </c>
      <c r="L26" s="17" t="s">
        <v>27</v>
      </c>
      <c r="M26" s="17" t="s">
        <v>27</v>
      </c>
      <c r="N26" s="17" t="s">
        <v>27</v>
      </c>
      <c r="O26" s="17" t="s">
        <v>27</v>
      </c>
    </row>
    <row r="27" ht="15.75" customHeight="1">
      <c r="B27" s="2" t="s">
        <v>36</v>
      </c>
      <c r="D27" s="5">
        <f t="shared" ref="D27:O27" si="4">SUM(D20:D26)</f>
        <v>4778</v>
      </c>
      <c r="E27" s="5">
        <f t="shared" si="4"/>
        <v>4000</v>
      </c>
      <c r="F27" s="5">
        <f t="shared" si="4"/>
        <v>4000</v>
      </c>
      <c r="G27" s="5">
        <f t="shared" si="4"/>
        <v>4000</v>
      </c>
      <c r="H27" s="5">
        <f t="shared" si="4"/>
        <v>4000</v>
      </c>
      <c r="I27" s="5">
        <f t="shared" si="4"/>
        <v>4000</v>
      </c>
      <c r="J27" s="5">
        <f t="shared" si="4"/>
        <v>4000</v>
      </c>
      <c r="K27" s="5">
        <f t="shared" si="4"/>
        <v>4000</v>
      </c>
      <c r="L27" s="5">
        <f t="shared" si="4"/>
        <v>4000</v>
      </c>
      <c r="M27" s="5">
        <f t="shared" si="4"/>
        <v>4000</v>
      </c>
      <c r="N27" s="5">
        <f t="shared" si="4"/>
        <v>4000</v>
      </c>
      <c r="O27" s="5">
        <f t="shared" si="4"/>
        <v>4000</v>
      </c>
    </row>
    <row r="28" ht="15.75" customHeight="1"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ht="15.75" customHeight="1">
      <c r="B29" s="15" t="s">
        <v>37</v>
      </c>
      <c r="C29" s="1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ht="15.75" customHeight="1">
      <c r="B30" s="16"/>
      <c r="C30" s="3" t="s">
        <v>38</v>
      </c>
      <c r="D30" s="4">
        <v>100.0</v>
      </c>
      <c r="E30" s="12">
        <v>0.0</v>
      </c>
      <c r="F30" s="12">
        <v>0.0</v>
      </c>
      <c r="G30" s="12">
        <v>0.0</v>
      </c>
      <c r="H30" s="12">
        <v>0.0</v>
      </c>
      <c r="I30" s="12">
        <v>0.0</v>
      </c>
      <c r="J30" s="12">
        <v>0.0</v>
      </c>
      <c r="K30" s="12">
        <v>0.0</v>
      </c>
      <c r="L30" s="12">
        <v>0.0</v>
      </c>
      <c r="M30" s="12">
        <v>0.0</v>
      </c>
      <c r="N30" s="12">
        <v>0.0</v>
      </c>
      <c r="O30" s="12">
        <v>0.0</v>
      </c>
    </row>
    <row r="31" ht="15.75" customHeight="1">
      <c r="B31" s="16"/>
      <c r="C31" s="10" t="s">
        <v>39</v>
      </c>
      <c r="D31" s="18">
        <v>800.0</v>
      </c>
      <c r="E31" s="12">
        <v>0.0</v>
      </c>
      <c r="F31" s="12">
        <v>0.0</v>
      </c>
      <c r="G31" s="12">
        <v>0.0</v>
      </c>
      <c r="H31" s="12">
        <v>0.0</v>
      </c>
      <c r="I31" s="12">
        <v>0.0</v>
      </c>
      <c r="J31" s="12">
        <v>0.0</v>
      </c>
      <c r="K31" s="12">
        <v>0.0</v>
      </c>
      <c r="L31" s="12">
        <v>0.0</v>
      </c>
      <c r="M31" s="12">
        <v>0.0</v>
      </c>
      <c r="N31" s="12">
        <v>0.0</v>
      </c>
      <c r="O31" s="12">
        <v>0.0</v>
      </c>
    </row>
    <row r="32" ht="15.75" customHeight="1">
      <c r="B32" s="16"/>
      <c r="C32" s="10" t="s">
        <v>40</v>
      </c>
      <c r="D32" s="18">
        <v>33.85</v>
      </c>
      <c r="E32" s="12">
        <v>0.0</v>
      </c>
      <c r="F32" s="12">
        <v>0.0</v>
      </c>
      <c r="G32" s="12">
        <v>0.0</v>
      </c>
      <c r="H32" s="12">
        <v>0.0</v>
      </c>
      <c r="I32" s="12">
        <v>0.0</v>
      </c>
      <c r="J32" s="12">
        <v>0.0</v>
      </c>
      <c r="K32" s="12">
        <v>0.0</v>
      </c>
      <c r="L32" s="12">
        <v>0.0</v>
      </c>
      <c r="M32" s="12">
        <v>0.0</v>
      </c>
      <c r="N32" s="12">
        <v>0.0</v>
      </c>
      <c r="O32" s="12">
        <v>0.0</v>
      </c>
    </row>
    <row r="33" ht="15.75" customHeight="1">
      <c r="B33" s="16"/>
      <c r="C33" s="10" t="s">
        <v>41</v>
      </c>
      <c r="D33" s="18">
        <v>103.95</v>
      </c>
      <c r="E33" s="12">
        <v>0.0</v>
      </c>
      <c r="F33" s="12">
        <v>0.0</v>
      </c>
      <c r="G33" s="12">
        <v>0.0</v>
      </c>
      <c r="H33" s="12">
        <v>0.0</v>
      </c>
      <c r="I33" s="12">
        <v>0.0</v>
      </c>
      <c r="J33" s="12">
        <v>0.0</v>
      </c>
      <c r="K33" s="12">
        <v>0.0</v>
      </c>
      <c r="L33" s="12">
        <v>0.0</v>
      </c>
      <c r="M33" s="12">
        <v>0.0</v>
      </c>
      <c r="N33" s="12">
        <v>0.0</v>
      </c>
      <c r="O33" s="12">
        <v>0.0</v>
      </c>
    </row>
    <row r="34" ht="15.75" customHeight="1">
      <c r="B34" s="16"/>
      <c r="C34" s="10" t="s">
        <v>42</v>
      </c>
      <c r="D34" s="18">
        <v>19.99</v>
      </c>
      <c r="E34" s="12">
        <v>0.0</v>
      </c>
      <c r="F34" s="12">
        <v>0.0</v>
      </c>
      <c r="G34" s="12">
        <v>0.0</v>
      </c>
      <c r="H34" s="12">
        <v>0.0</v>
      </c>
      <c r="I34" s="12">
        <v>0.0</v>
      </c>
      <c r="J34" s="12">
        <v>0.0</v>
      </c>
      <c r="K34" s="12">
        <v>0.0</v>
      </c>
      <c r="L34" s="12">
        <v>0.0</v>
      </c>
      <c r="M34" s="12">
        <v>0.0</v>
      </c>
      <c r="N34" s="12">
        <v>0.0</v>
      </c>
      <c r="O34" s="12">
        <v>0.0</v>
      </c>
    </row>
    <row r="35" ht="15.75" customHeight="1">
      <c r="B35" s="16"/>
      <c r="C35" s="10" t="s">
        <v>43</v>
      </c>
      <c r="D35" s="18">
        <v>10.29</v>
      </c>
      <c r="E35" s="12">
        <v>0.0</v>
      </c>
      <c r="F35" s="12">
        <v>0.0</v>
      </c>
      <c r="G35" s="12">
        <v>0.0</v>
      </c>
      <c r="H35" s="12">
        <v>0.0</v>
      </c>
      <c r="I35" s="12">
        <v>0.0</v>
      </c>
      <c r="J35" s="12">
        <v>0.0</v>
      </c>
      <c r="K35" s="12">
        <v>0.0</v>
      </c>
      <c r="L35" s="12">
        <v>0.0</v>
      </c>
      <c r="M35" s="12">
        <v>0.0</v>
      </c>
      <c r="N35" s="12">
        <v>0.0</v>
      </c>
      <c r="O35" s="12">
        <v>0.0</v>
      </c>
    </row>
    <row r="36" ht="15.75" customHeight="1">
      <c r="B36" s="16"/>
      <c r="C36" s="10" t="s">
        <v>44</v>
      </c>
      <c r="D36" s="18">
        <v>33.83</v>
      </c>
      <c r="E36" s="12">
        <v>0.0</v>
      </c>
      <c r="F36" s="12">
        <v>0.0</v>
      </c>
      <c r="G36" s="12">
        <v>0.0</v>
      </c>
      <c r="H36" s="12">
        <v>0.0</v>
      </c>
      <c r="I36" s="12">
        <v>0.0</v>
      </c>
      <c r="J36" s="12">
        <v>0.0</v>
      </c>
      <c r="K36" s="12">
        <v>0.0</v>
      </c>
      <c r="L36" s="12">
        <v>0.0</v>
      </c>
      <c r="M36" s="12">
        <v>0.0</v>
      </c>
      <c r="N36" s="12">
        <v>0.0</v>
      </c>
      <c r="O36" s="12">
        <v>0.0</v>
      </c>
    </row>
    <row r="37" ht="15.75" customHeight="1">
      <c r="C37" s="8" t="s">
        <v>45</v>
      </c>
      <c r="D37" s="12">
        <v>100.0</v>
      </c>
      <c r="E37" s="12">
        <v>0.0</v>
      </c>
      <c r="F37" s="12">
        <v>0.0</v>
      </c>
      <c r="G37" s="12">
        <v>0.0</v>
      </c>
      <c r="H37" s="12">
        <v>0.0</v>
      </c>
      <c r="I37" s="12">
        <v>0.0</v>
      </c>
      <c r="J37" s="12">
        <v>0.0</v>
      </c>
      <c r="K37" s="12">
        <v>0.0</v>
      </c>
      <c r="L37" s="12">
        <v>0.0</v>
      </c>
      <c r="M37" s="12">
        <v>0.0</v>
      </c>
      <c r="N37" s="12">
        <v>0.0</v>
      </c>
      <c r="O37" s="12">
        <v>0.0</v>
      </c>
    </row>
    <row r="38" ht="15.75" customHeight="1"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ht="15.75" customHeight="1">
      <c r="D39" s="17" t="s">
        <v>27</v>
      </c>
      <c r="E39" s="17" t="s">
        <v>27</v>
      </c>
      <c r="F39" s="17" t="s">
        <v>27</v>
      </c>
      <c r="G39" s="17" t="s">
        <v>27</v>
      </c>
      <c r="H39" s="17" t="s">
        <v>27</v>
      </c>
      <c r="I39" s="17" t="s">
        <v>27</v>
      </c>
      <c r="J39" s="17" t="s">
        <v>27</v>
      </c>
      <c r="K39" s="17" t="s">
        <v>27</v>
      </c>
      <c r="L39" s="17" t="s">
        <v>27</v>
      </c>
      <c r="M39" s="17" t="s">
        <v>27</v>
      </c>
      <c r="N39" s="17" t="s">
        <v>27</v>
      </c>
      <c r="O39" s="17" t="s">
        <v>27</v>
      </c>
    </row>
    <row r="40" ht="15.75" customHeight="1">
      <c r="B40" s="2" t="s">
        <v>46</v>
      </c>
      <c r="D40" s="5">
        <f t="shared" ref="D40:O40" si="5">SUM(D30:D39)</f>
        <v>1201.91</v>
      </c>
      <c r="E40" s="5">
        <f t="shared" si="5"/>
        <v>0</v>
      </c>
      <c r="F40" s="5">
        <f t="shared" si="5"/>
        <v>0</v>
      </c>
      <c r="G40" s="5">
        <f t="shared" si="5"/>
        <v>0</v>
      </c>
      <c r="H40" s="5">
        <f t="shared" si="5"/>
        <v>0</v>
      </c>
      <c r="I40" s="5">
        <f t="shared" si="5"/>
        <v>0</v>
      </c>
      <c r="J40" s="5">
        <f t="shared" si="5"/>
        <v>0</v>
      </c>
      <c r="K40" s="5">
        <f t="shared" si="5"/>
        <v>0</v>
      </c>
      <c r="L40" s="5">
        <f t="shared" si="5"/>
        <v>0</v>
      </c>
      <c r="M40" s="5">
        <f t="shared" si="5"/>
        <v>0</v>
      </c>
      <c r="N40" s="5">
        <f t="shared" si="5"/>
        <v>0</v>
      </c>
      <c r="O40" s="5">
        <f t="shared" si="5"/>
        <v>0</v>
      </c>
    </row>
    <row r="41" ht="15.75" customHeight="1"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ht="15.75" customHeight="1">
      <c r="A42" s="3" t="s">
        <v>47</v>
      </c>
      <c r="D42" s="13">
        <f t="shared" ref="D42:O42" si="6">D40+D27+D16</f>
        <v>5979.91</v>
      </c>
      <c r="E42" s="13">
        <f t="shared" si="6"/>
        <v>4000</v>
      </c>
      <c r="F42" s="13">
        <f t="shared" si="6"/>
        <v>4000</v>
      </c>
      <c r="G42" s="13">
        <f t="shared" si="6"/>
        <v>4000</v>
      </c>
      <c r="H42" s="13">
        <f t="shared" si="6"/>
        <v>4000</v>
      </c>
      <c r="I42" s="13">
        <f t="shared" si="6"/>
        <v>4000</v>
      </c>
      <c r="J42" s="13">
        <f t="shared" si="6"/>
        <v>4000</v>
      </c>
      <c r="K42" s="13">
        <f t="shared" si="6"/>
        <v>4000</v>
      </c>
      <c r="L42" s="13">
        <f t="shared" si="6"/>
        <v>4000</v>
      </c>
      <c r="M42" s="13">
        <f t="shared" si="6"/>
        <v>4000</v>
      </c>
      <c r="N42" s="13">
        <f t="shared" si="6"/>
        <v>4000</v>
      </c>
      <c r="O42" s="13">
        <f t="shared" si="6"/>
        <v>4000</v>
      </c>
    </row>
    <row r="43" ht="15.75" customHeight="1"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ht="15.75" customHeight="1"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ht="15.75" customHeight="1">
      <c r="A45" s="3" t="s">
        <v>48</v>
      </c>
      <c r="D45" s="13">
        <f t="shared" ref="D45:O45" si="7">D8-D42</f>
        <v>-5479.91</v>
      </c>
      <c r="E45" s="13">
        <f t="shared" si="7"/>
        <v>-3000</v>
      </c>
      <c r="F45" s="13">
        <f t="shared" si="7"/>
        <v>-2500</v>
      </c>
      <c r="G45" s="13">
        <f t="shared" si="7"/>
        <v>-2000</v>
      </c>
      <c r="H45" s="13">
        <f t="shared" si="7"/>
        <v>-500</v>
      </c>
      <c r="I45" s="13">
        <f t="shared" si="7"/>
        <v>0</v>
      </c>
      <c r="J45" s="13">
        <f t="shared" si="7"/>
        <v>500</v>
      </c>
      <c r="K45" s="13">
        <f t="shared" si="7"/>
        <v>1000</v>
      </c>
      <c r="L45" s="13">
        <f t="shared" si="7"/>
        <v>1500</v>
      </c>
      <c r="M45" s="13">
        <f t="shared" si="7"/>
        <v>2000</v>
      </c>
      <c r="N45" s="13">
        <f t="shared" si="7"/>
        <v>6000</v>
      </c>
      <c r="O45" s="13">
        <f t="shared" si="7"/>
        <v>8500</v>
      </c>
    </row>
    <row r="46" ht="15.75" customHeight="1"/>
    <row r="47" ht="15.75" customHeight="1"/>
    <row r="48" ht="15.75" customHeight="1"/>
    <row r="49" ht="15.75" customHeight="1">
      <c r="B49" s="19" t="s">
        <v>49</v>
      </c>
    </row>
    <row r="50" ht="15.75" customHeight="1">
      <c r="B50" s="8" t="s">
        <v>50</v>
      </c>
      <c r="C50" s="8">
        <v>250.0</v>
      </c>
      <c r="D50" s="20"/>
    </row>
    <row r="51" ht="15.75" customHeight="1">
      <c r="B51" s="8" t="s">
        <v>51</v>
      </c>
      <c r="C51" s="8">
        <v>256.0</v>
      </c>
    </row>
    <row r="52" ht="15.75" customHeight="1">
      <c r="B52" s="8" t="s">
        <v>50</v>
      </c>
      <c r="C52" s="8">
        <v>79.0</v>
      </c>
    </row>
    <row r="53" ht="15.75" customHeight="1">
      <c r="B53" s="8" t="s">
        <v>50</v>
      </c>
      <c r="C53" s="8">
        <v>50.0</v>
      </c>
    </row>
    <row r="54" ht="15.75" customHeight="1">
      <c r="B54" s="8" t="s">
        <v>51</v>
      </c>
      <c r="C54" s="8">
        <v>25.0</v>
      </c>
    </row>
    <row r="55" ht="15.75" customHeight="1">
      <c r="B55" s="21" t="s">
        <v>33</v>
      </c>
      <c r="C55" s="8">
        <v>168.0</v>
      </c>
    </row>
    <row r="56" ht="15.75" customHeight="1">
      <c r="B56" s="21" t="s">
        <v>52</v>
      </c>
      <c r="C56" s="10">
        <v>55.98</v>
      </c>
    </row>
    <row r="57" ht="15.75" customHeight="1">
      <c r="B57" s="22" t="s">
        <v>53</v>
      </c>
      <c r="C57" s="3">
        <f>SUM(C50:C56)</f>
        <v>883.98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9.0"/>
    <col customWidth="1" min="2" max="2" width="27.33"/>
    <col customWidth="1" min="3" max="3" width="26.78"/>
    <col customWidth="1" min="4" max="4" width="30.33"/>
    <col customWidth="1" min="5" max="5" width="18.44"/>
    <col customWidth="1" min="6" max="6" width="10.56"/>
    <col customWidth="1" min="7" max="7" width="13.67"/>
    <col customWidth="1" min="8" max="26" width="10.56"/>
  </cols>
  <sheetData>
    <row r="1" ht="15.75" customHeight="1">
      <c r="A1" s="2" t="s">
        <v>54</v>
      </c>
      <c r="B1" s="2" t="s">
        <v>55</v>
      </c>
      <c r="C1" s="2" t="s">
        <v>56</v>
      </c>
      <c r="D1" s="2" t="s">
        <v>57</v>
      </c>
      <c r="E1" s="23"/>
      <c r="F1" s="23"/>
      <c r="G1" s="23"/>
    </row>
    <row r="2" ht="15.75" customHeight="1">
      <c r="A2" s="2" t="s">
        <v>58</v>
      </c>
      <c r="B2" s="24">
        <v>16.78</v>
      </c>
      <c r="C2" s="24">
        <v>50.0</v>
      </c>
      <c r="D2" s="3" t="s">
        <v>59</v>
      </c>
    </row>
    <row r="3" ht="15.75" customHeight="1">
      <c r="A3" s="2" t="s">
        <v>60</v>
      </c>
      <c r="B3" s="24">
        <v>9.08</v>
      </c>
      <c r="C3" s="24">
        <v>10.0</v>
      </c>
      <c r="D3" s="3" t="s">
        <v>61</v>
      </c>
    </row>
    <row r="4" ht="15.75" customHeight="1">
      <c r="A4" s="2" t="s">
        <v>62</v>
      </c>
      <c r="B4" s="24">
        <v>5.92</v>
      </c>
      <c r="C4" s="24">
        <v>10.0</v>
      </c>
      <c r="D4" s="3" t="s">
        <v>63</v>
      </c>
    </row>
    <row r="5" ht="15.75" customHeight="1">
      <c r="A5" s="2" t="s">
        <v>64</v>
      </c>
      <c r="B5" s="3" t="s">
        <v>65</v>
      </c>
      <c r="C5" s="3" t="s">
        <v>66</v>
      </c>
      <c r="D5" s="3" t="s">
        <v>67</v>
      </c>
    </row>
    <row r="6" ht="15.75" customHeight="1">
      <c r="A6" s="2" t="s">
        <v>68</v>
      </c>
      <c r="B6" s="24">
        <v>10.0</v>
      </c>
      <c r="C6" s="3" t="s">
        <v>69</v>
      </c>
      <c r="D6" s="3" t="s">
        <v>70</v>
      </c>
    </row>
    <row r="7" ht="15.75" customHeight="1">
      <c r="A7" s="2" t="s">
        <v>71</v>
      </c>
      <c r="B7" s="24">
        <v>10.0</v>
      </c>
      <c r="C7" s="3" t="s">
        <v>69</v>
      </c>
      <c r="D7" s="3" t="s">
        <v>70</v>
      </c>
    </row>
    <row r="8" ht="15.75" customHeight="1">
      <c r="A8" s="2" t="s">
        <v>72</v>
      </c>
      <c r="B8" s="24">
        <v>10.0</v>
      </c>
      <c r="C8" s="3" t="s">
        <v>69</v>
      </c>
      <c r="D8" s="3" t="s">
        <v>70</v>
      </c>
    </row>
    <row r="9" ht="15.75" customHeight="1">
      <c r="A9" s="2" t="s">
        <v>73</v>
      </c>
      <c r="B9" s="24">
        <v>10.0</v>
      </c>
      <c r="C9" s="3" t="s">
        <v>69</v>
      </c>
      <c r="D9" s="3" t="s">
        <v>70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