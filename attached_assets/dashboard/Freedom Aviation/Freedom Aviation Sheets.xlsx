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dget" sheetId="1" r:id="rId4"/>
    <sheet state="visible" name="Insurance Tracking" sheetId="2" r:id="rId5"/>
    <sheet state="visible" name="OPS Software" sheetId="3" r:id="rId6"/>
    <sheet state="visible" name="General" sheetId="4" r:id="rId7"/>
    <sheet state="visible" name="Monthly Membership Costs" sheetId="5" r:id="rId8"/>
    <sheet state="visible" name="Membership Package Multiplier" sheetId="6" r:id="rId9"/>
  </sheets>
  <definedNames/>
  <calcPr/>
</workbook>
</file>

<file path=xl/sharedStrings.xml><?xml version="1.0" encoding="utf-8"?>
<sst xmlns="http://schemas.openxmlformats.org/spreadsheetml/2006/main" count="216" uniqueCount="132">
  <si>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</si>
  <si>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</si>
  <si>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</si>
  <si>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</si>
  <si>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</si>
  <si>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</si>
  <si>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</si>
  <si>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</si>
  <si>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</si>
  <si>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</si>
  <si>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</si>
  <si>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Month 12</t>
  </si>
  <si>
    <t>Client to Revenue calculation</t>
  </si>
  <si>
    <t>Beginning Cash Balance</t>
  </si>
  <si>
    <t>Clients</t>
  </si>
  <si>
    <t>Revenue</t>
  </si>
  <si>
    <t>Subscription level</t>
  </si>
  <si>
    <t># of Planes</t>
  </si>
  <si>
    <t>Sales Subcription</t>
  </si>
  <si>
    <t>Total Clients</t>
  </si>
  <si>
    <t>Lease payment</t>
  </si>
  <si>
    <t xml:space="preserve">Revenue Calculated </t>
  </si>
  <si>
    <t>Flight Instruction</t>
  </si>
  <si>
    <t>Total Cash Available</t>
  </si>
  <si>
    <t>One-time Cost &amp; Expenses</t>
  </si>
  <si>
    <t>Subscription charge</t>
  </si>
  <si>
    <t>AC Tug</t>
  </si>
  <si>
    <t>Lease Payment</t>
  </si>
  <si>
    <t>----------------</t>
  </si>
  <si>
    <t>Expenses Sub-Total</t>
  </si>
  <si>
    <t xml:space="preserve">Fixed Costs </t>
  </si>
  <si>
    <t xml:space="preserve">Lease </t>
  </si>
  <si>
    <t>Insurance Estimate</t>
  </si>
  <si>
    <t>SquareSpace Subsciption</t>
  </si>
  <si>
    <t>Google Workspace</t>
  </si>
  <si>
    <t>LegalZoom Yearly</t>
  </si>
  <si>
    <t>Salary</t>
  </si>
  <si>
    <t>Airport Fees</t>
  </si>
  <si>
    <t>Fixed Costs Sub-Total</t>
  </si>
  <si>
    <t xml:space="preserve">Variable Costs </t>
  </si>
  <si>
    <t>Travel costs</t>
  </si>
  <si>
    <t>Cleaning Supplies</t>
  </si>
  <si>
    <t>TKS fluid 55 gallon drum</t>
  </si>
  <si>
    <t>Payment Processing</t>
  </si>
  <si>
    <t>Variable Costs Sub-Total</t>
  </si>
  <si>
    <t>Total Expenses</t>
  </si>
  <si>
    <t>Ending Cash Balance</t>
  </si>
  <si>
    <t>Personal CC Transactions</t>
  </si>
  <si>
    <t>LegalZoom</t>
  </si>
  <si>
    <t>Sqsp Website Sep 17</t>
  </si>
  <si>
    <t>Squarespace</t>
  </si>
  <si>
    <t>Legal Zoom Sep 18</t>
  </si>
  <si>
    <t>Legal Zoom Sep 22</t>
  </si>
  <si>
    <t>LegalZoom Sep 23</t>
  </si>
  <si>
    <t>Sqsp Website/Google Workspace Sep 23</t>
  </si>
  <si>
    <t>Sqsp/Google Workspace extra email  Sep 25</t>
  </si>
  <si>
    <t>Sqsp/Google Workspace 3rd extra email  Sep 25</t>
  </si>
  <si>
    <t>Colorado tax registration</t>
  </si>
  <si>
    <t>Intuit Quickbooks Sep 25</t>
  </si>
  <si>
    <t>DOR Business Expense Sep 26</t>
  </si>
  <si>
    <t>Total</t>
  </si>
  <si>
    <t>Paid</t>
  </si>
  <si>
    <t>Broker / Company</t>
  </si>
  <si>
    <t>Contact</t>
  </si>
  <si>
    <t>Date Contacted</t>
  </si>
  <si>
    <t>Response Status</t>
  </si>
  <si>
    <t>Premium Estimate</t>
  </si>
  <si>
    <t>Coverage Notes</t>
  </si>
  <si>
    <t>Documents Requested</t>
  </si>
  <si>
    <t>Next Action</t>
  </si>
  <si>
    <t>Final Decision</t>
  </si>
  <si>
    <t>Falcon Insurance Agency</t>
  </si>
  <si>
    <t>Pending</t>
  </si>
  <si>
    <t>Avemco</t>
  </si>
  <si>
    <t>Finished</t>
  </si>
  <si>
    <t>Didn't offer coveragea</t>
  </si>
  <si>
    <t>No</t>
  </si>
  <si>
    <t>Travers Aviation</t>
  </si>
  <si>
    <t>Processing</t>
  </si>
  <si>
    <t>https://www.sompo-intl.com/insurance/us-general-aviation/</t>
  </si>
  <si>
    <t>mpennington@wbais.com</t>
  </si>
  <si>
    <t>Previous Experience</t>
  </si>
  <si>
    <t>Send CVs</t>
  </si>
  <si>
    <t>Air pros</t>
  </si>
  <si>
    <t>https://air-pros.com/</t>
  </si>
  <si>
    <t>Gallagher</t>
  </si>
  <si>
    <t>https://www.ajg.com/connect-with-us/?productId={E938830F-E55A-4C08-9F34-96B76562AA42}</t>
  </si>
  <si>
    <t>Acrisure</t>
  </si>
  <si>
    <t>https://www.acrisure.com/aerospace</t>
  </si>
  <si>
    <t>ID</t>
  </si>
  <si>
    <t>Phase</t>
  </si>
  <si>
    <t>Sub-Step</t>
  </si>
  <si>
    <t>Task</t>
  </si>
  <si>
    <t>Owner</t>
  </si>
  <si>
    <t>Calendar</t>
  </si>
  <si>
    <t>Status</t>
  </si>
  <si>
    <t>Notes</t>
  </si>
  <si>
    <t>Setup</t>
  </si>
  <si>
    <t>Noah</t>
  </si>
  <si>
    <t>Maintenance</t>
  </si>
  <si>
    <t>Clients log issues directly</t>
  </si>
  <si>
    <t>Expands FSP beyond maintenance</t>
  </si>
  <si>
    <t>Visible to both client &amp; ops</t>
  </si>
  <si>
    <t>Billing</t>
  </si>
  <si>
    <t>Concierge</t>
  </si>
  <si>
    <t>Covers services outside FSP</t>
  </si>
  <si>
    <t>Ensures nothing missed</t>
  </si>
  <si>
    <t>Client UX</t>
  </si>
  <si>
    <t>Creates one entry point</t>
  </si>
  <si>
    <t>Training</t>
  </si>
  <si>
    <t>Operating Agreement Fillable</t>
  </si>
  <si>
    <t>LegalZoom LLC</t>
  </si>
  <si>
    <t>Business Mail Adress</t>
  </si>
  <si>
    <t>Squarespace issues</t>
  </si>
  <si>
    <t>Business Cards</t>
  </si>
  <si>
    <t>INSURANCE QUOTE</t>
  </si>
  <si>
    <t>Airport Operations Agreement</t>
  </si>
  <si>
    <t>Monthly Membership Costs</t>
  </si>
  <si>
    <t>Private</t>
  </si>
  <si>
    <t>First Officer</t>
  </si>
  <si>
    <t>Captain</t>
  </si>
  <si>
    <t>1 Exterior &amp; Interior Detail a Month</t>
  </si>
  <si>
    <t>Unlimited Deep Cleans</t>
  </si>
  <si>
    <t>Garmin Database Updates</t>
  </si>
  <si>
    <t>TKS Oil Provided</t>
  </si>
  <si>
    <t>IPC &amp; BFR Included - 15hrs (5 Lessons @3hrs per</t>
  </si>
  <si>
    <t>Optional Leading Edge &amp; Windscreen</t>
  </si>
  <si>
    <t>Leading Edges</t>
  </si>
  <si>
    <t>Preflight Aircraft Staging</t>
  </si>
  <si>
    <t>Maintenance Scheduling</t>
  </si>
  <si>
    <t>Total Cost per Month</t>
  </si>
  <si>
    <t>Price Per Month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</si>
</sst>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&quot;$&quot;#,##0.00"/>
    <numFmt numFmtId="165" formatCode="&quot;$&quot;#,##0.00_);[Red]\(&quot;$&quot;#,##0.00\)"/>
    <numFmt numFmtId="166" formatCode="m/d/yy"/>
    <numFmt numFmtId="167" formatCode="&quot;$&quot;#,##0"/>
    <numFmt numFmtId="168" formatCode="yyyy-mm-dd"/>
    <numFmt numFmtId="169" formatCode="_(&quot;$&quot;* #,##0.00_);_(&quot;$&quot;* \(#,##0.00\);_(&quot;$&quot;* &quot;-&quot;??_);_(@_)"/>
  </numFmts>
  <fonts count="14">
    <font>
      <sz val="10.0"/>
      <color rgb="FF000000"/>
      <name val="Arial"/>
      <scheme val="minor"/>
    </font>
    <font>
      <sz val="12.0"/>
      <color theme="1"/>
      <name val="Calibri"/>
    </font>
    <font>
      <b/>
      <sz val="12.0"/>
      <color theme="1"/>
      <name val="Calibri"/>
    </font>
    <font>
      <sz val="12.0"/>
      <color rgb="FF1A1D1E"/>
      <name val="Calibri"/>
    </font>
    <font>
      <b/>
      <sz val="12.0"/>
      <color rgb="FFFFFFFF"/>
      <name val="Calibri"/>
    </font>
    <font>
      <sz val="12.0"/>
      <color rgb="FFFFFFFF"/>
      <name val="Calibri"/>
    </font>
    <font>
      <b/>
      <sz val="12.0"/>
      <color rgb="FF1A1D1E"/>
      <name val="Calibri"/>
    </font>
    <font>
      <b/>
      <color theme="1"/>
      <name val="Arial"/>
      <scheme val="minor"/>
    </font>
    <font>
      <color theme="1"/>
      <name val="Arial"/>
      <scheme val="minor"/>
    </font>
    <font>
      <color rgb="FF1A1D1E"/>
      <name val="Arial"/>
      <scheme val="minor"/>
    </font>
    <font>
      <u/>
      <color rgb="FF5FB3FF"/>
      <name val="Roboto"/>
    </font>
    <font>
      <u/>
      <color rgb="FF0000FF"/>
      <name val="Roboto"/>
    </font>
    <font>
      <u/>
      <color rgb="FF0000FF"/>
      <name val="Roboto"/>
    </font>
    <font>
      <b/>
      <sz val="15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EF2CB"/>
        <bgColor rgb="FFFEF2CB"/>
      </patternFill>
    </fill>
    <fill>
      <patternFill patternType="solid">
        <fgColor rgb="FF757070"/>
        <bgColor rgb="FF757070"/>
      </patternFill>
    </fill>
  </fills>
  <borders count="17">
    <border/>
    <border>
      <left/>
      <right/>
      <top/>
      <bottom/>
    </border>
    <border>
      <left/>
      <right/>
      <top style="thin">
        <color rgb="FF000000"/>
      </top>
      <bottom style="double">
        <color rgb="FF000000"/>
      </bottom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9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1" numFmtId="164" xfId="0" applyAlignment="1" applyFont="1" applyNumberFormat="1">
      <alignment horizontal="center" vertical="bottom"/>
    </xf>
    <xf borderId="1" fillId="2" fontId="1" numFmtId="164" xfId="0" applyAlignment="1" applyBorder="1" applyFill="1" applyFont="1" applyNumberFormat="1">
      <alignment horizontal="center" vertical="bottom"/>
    </xf>
    <xf borderId="1" fillId="2" fontId="1" numFmtId="0" xfId="0" applyAlignment="1" applyBorder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164" xfId="0" applyAlignment="1" applyFont="1" applyNumberForma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center" readingOrder="0" vertical="bottom"/>
    </xf>
    <xf borderId="0" fillId="0" fontId="1" numFmtId="164" xfId="0" applyAlignment="1" applyFont="1" applyNumberFormat="1">
      <alignment horizontal="center" vertical="bottom"/>
    </xf>
    <xf borderId="0" fillId="0" fontId="3" numFmtId="164" xfId="0" applyAlignment="1" applyFont="1" applyNumberFormat="1">
      <alignment horizontal="center" vertical="bottom"/>
    </xf>
    <xf borderId="2" fillId="2" fontId="1" numFmtId="164" xfId="0" applyAlignment="1" applyBorder="1" applyFont="1" applyNumberFormat="1">
      <alignment horizontal="center" vertical="bottom"/>
    </xf>
    <xf borderId="1" fillId="3" fontId="4" numFmtId="0" xfId="0" applyAlignment="1" applyBorder="1" applyFill="1" applyFont="1">
      <alignment vertical="bottom"/>
    </xf>
    <xf borderId="1" fillId="3" fontId="1" numFmtId="0" xfId="0" applyAlignment="1" applyBorder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quotePrefix="1" borderId="0" fillId="0" fontId="1" numFmtId="164" xfId="0" applyAlignment="1" applyFont="1" applyNumberFormat="1">
      <alignment horizontal="center" vertical="bottom"/>
    </xf>
    <xf borderId="0" fillId="0" fontId="3" numFmtId="164" xfId="0" applyAlignment="1" applyFont="1" applyNumberFormat="1">
      <alignment horizontal="center" readingOrder="0" vertical="bottom"/>
    </xf>
    <xf borderId="1" fillId="3" fontId="5" numFmtId="0" xfId="0" applyAlignment="1" applyBorder="1" applyFont="1">
      <alignment vertical="bottom"/>
    </xf>
    <xf borderId="0" fillId="0" fontId="3" numFmtId="0" xfId="0" applyAlignment="1" applyFont="1">
      <alignment horizontal="right" vertical="bottom"/>
    </xf>
    <xf borderId="0" fillId="0" fontId="1" numFmtId="16" xfId="0" applyAlignment="1" applyFont="1" applyNumberFormat="1">
      <alignment vertical="bottom"/>
    </xf>
    <xf borderId="0" fillId="0" fontId="3" numFmtId="165" xfId="0" applyAlignment="1" applyFont="1" applyNumberFormat="1">
      <alignment readingOrder="0" vertical="bottom"/>
    </xf>
    <xf borderId="0" fillId="0" fontId="3" numFmtId="165" xfId="0" applyAlignment="1" applyFont="1" applyNumberFormat="1">
      <alignment horizontal="right" readingOrder="0" vertical="bottom"/>
    </xf>
    <xf borderId="0" fillId="0" fontId="6" numFmtId="165" xfId="0" applyAlignment="1" applyFont="1" applyNumberFormat="1">
      <alignment vertical="bottom"/>
    </xf>
    <xf borderId="0" fillId="0" fontId="1" numFmtId="165" xfId="0" applyAlignment="1" applyFont="1" applyNumberFormat="1">
      <alignment horizontal="right" vertical="bottom"/>
    </xf>
    <xf borderId="0" fillId="0" fontId="1" numFmtId="165" xfId="0" applyAlignment="1" applyFont="1" applyNumberFormat="1">
      <alignment vertical="bottom"/>
    </xf>
    <xf borderId="3" fillId="0" fontId="7" numFmtId="0" xfId="0" applyAlignment="1" applyBorder="1" applyFont="1">
      <alignment horizontal="center" readingOrder="0" shrinkToFit="0" vertical="center" wrapText="0"/>
    </xf>
    <xf borderId="4" fillId="0" fontId="7" numFmtId="49" xfId="0" applyAlignment="1" applyBorder="1" applyFont="1" applyNumberFormat="1">
      <alignment horizontal="center" readingOrder="0" shrinkToFit="0" vertical="center" wrapText="0"/>
    </xf>
    <xf borderId="4" fillId="0" fontId="7" numFmtId="0" xfId="0" applyAlignment="1" applyBorder="1" applyFont="1">
      <alignment horizontal="center" readingOrder="0" shrinkToFit="0" vertical="center" wrapText="0"/>
    </xf>
    <xf borderId="5" fillId="0" fontId="7" numFmtId="0" xfId="0" applyAlignment="1" applyBorder="1" applyFont="1">
      <alignment horizontal="center" readingOrder="0" shrinkToFit="0" vertical="center" wrapText="0"/>
    </xf>
    <xf borderId="6" fillId="0" fontId="8" numFmtId="0" xfId="0" applyAlignment="1" applyBorder="1" applyFont="1">
      <alignment readingOrder="0" shrinkToFit="0" vertical="center" wrapText="0"/>
    </xf>
    <xf borderId="7" fillId="0" fontId="8" numFmtId="166" xfId="0" applyAlignment="1" applyBorder="1" applyFont="1" applyNumberFormat="1">
      <alignment readingOrder="0" shrinkToFit="0" vertical="center" wrapText="0"/>
    </xf>
    <xf borderId="7" fillId="0" fontId="8" numFmtId="0" xfId="0" applyAlignment="1" applyBorder="1" applyFont="1">
      <alignment readingOrder="0" shrinkToFit="0" vertical="center" wrapText="0"/>
    </xf>
    <xf borderId="8" fillId="0" fontId="8" numFmtId="0" xfId="0" applyAlignment="1" applyBorder="1" applyFont="1">
      <alignment readingOrder="0" shrinkToFit="0" vertical="center" wrapText="0"/>
    </xf>
    <xf borderId="9" fillId="0" fontId="9" numFmtId="0" xfId="0" applyAlignment="1" applyBorder="1" applyFont="1">
      <alignment readingOrder="0" shrinkToFit="0" vertical="center" wrapText="0"/>
    </xf>
    <xf borderId="10" fillId="0" fontId="8" numFmtId="166" xfId="0" applyAlignment="1" applyBorder="1" applyFont="1" applyNumberFormat="1">
      <alignment readingOrder="0" shrinkToFit="0" vertical="center" wrapText="0"/>
    </xf>
    <xf borderId="10" fillId="0" fontId="9" numFmtId="0" xfId="0" applyAlignment="1" applyBorder="1" applyFont="1">
      <alignment readingOrder="0" shrinkToFit="0" vertical="center" wrapText="0"/>
    </xf>
    <xf borderId="10" fillId="0" fontId="9" numFmtId="0" xfId="0" applyAlignment="1" applyBorder="1" applyFont="1">
      <alignment readingOrder="0" shrinkToFit="0" vertical="center" wrapText="0"/>
    </xf>
    <xf borderId="11" fillId="0" fontId="9" numFmtId="0" xfId="0" applyAlignment="1" applyBorder="1" applyFont="1">
      <alignment readingOrder="0" shrinkToFit="0" vertical="center" wrapText="0"/>
    </xf>
    <xf borderId="6" fillId="0" fontId="9" numFmtId="0" xfId="0" applyAlignment="1" applyBorder="1" applyFont="1">
      <alignment readingOrder="0" shrinkToFit="0" vertical="center" wrapText="0"/>
    </xf>
    <xf borderId="7" fillId="0" fontId="9" numFmtId="0" xfId="0" applyAlignment="1" applyBorder="1" applyFont="1">
      <alignment readingOrder="0" shrinkToFit="0" vertical="center" wrapText="0"/>
    </xf>
    <xf borderId="9" fillId="0" fontId="10" numFmtId="0" xfId="0" applyAlignment="1" applyBorder="1" applyFont="1">
      <alignment readingOrder="0" shrinkToFit="0" vertical="center" wrapText="0"/>
    </xf>
    <xf borderId="10" fillId="0" fontId="8" numFmtId="0" xfId="0" applyAlignment="1" applyBorder="1" applyFont="1">
      <alignment readingOrder="0" shrinkToFit="0" vertical="center" wrapText="0"/>
    </xf>
    <xf borderId="10" fillId="0" fontId="9" numFmtId="166" xfId="0" applyAlignment="1" applyBorder="1" applyFont="1" applyNumberFormat="1">
      <alignment readingOrder="0" shrinkToFit="0" vertical="center" wrapText="0"/>
    </xf>
    <xf borderId="10" fillId="0" fontId="9" numFmtId="0" xfId="0" applyAlignment="1" applyBorder="1" applyFont="1">
      <alignment readingOrder="0" shrinkToFit="0" vertical="center" wrapText="0"/>
    </xf>
    <xf borderId="10" fillId="0" fontId="9" numFmtId="167" xfId="0" applyAlignment="1" applyBorder="1" applyFont="1" applyNumberFormat="1">
      <alignment readingOrder="0" shrinkToFit="0" vertical="center" wrapText="0"/>
    </xf>
    <xf borderId="10" fillId="0" fontId="8" numFmtId="0" xfId="0" applyAlignment="1" applyBorder="1" applyFont="1">
      <alignment shrinkToFit="0" vertical="center" wrapText="0"/>
    </xf>
    <xf borderId="10" fillId="0" fontId="9" numFmtId="0" xfId="0" applyAlignment="1" applyBorder="1" applyFont="1">
      <alignment readingOrder="0" shrinkToFit="0" vertical="center" wrapText="0"/>
    </xf>
    <xf borderId="11" fillId="0" fontId="8" numFmtId="0" xfId="0" applyAlignment="1" applyBorder="1" applyFont="1">
      <alignment readingOrder="0" shrinkToFit="0" vertical="center" wrapText="0"/>
    </xf>
    <xf borderId="6" fillId="0" fontId="9" numFmtId="0" xfId="0" applyAlignment="1" applyBorder="1" applyFont="1">
      <alignment readingOrder="0" shrinkToFit="0" vertical="center" wrapText="0"/>
    </xf>
    <xf borderId="7" fillId="0" fontId="11" numFmtId="0" xfId="0" applyAlignment="1" applyBorder="1" applyFont="1">
      <alignment readingOrder="0" shrinkToFit="0" vertical="center" wrapText="0"/>
    </xf>
    <xf borderId="7" fillId="0" fontId="9" numFmtId="166" xfId="0" applyAlignment="1" applyBorder="1" applyFont="1" applyNumberFormat="1">
      <alignment readingOrder="0" shrinkToFit="0" vertical="center" wrapText="0"/>
    </xf>
    <xf borderId="7" fillId="0" fontId="9" numFmtId="0" xfId="0" applyAlignment="1" applyBorder="1" applyFont="1">
      <alignment readingOrder="0" shrinkToFit="0" vertical="center" wrapText="0"/>
    </xf>
    <xf borderId="7" fillId="0" fontId="8" numFmtId="0" xfId="0" applyAlignment="1" applyBorder="1" applyFont="1">
      <alignment shrinkToFit="0" vertical="center" wrapText="0"/>
    </xf>
    <xf borderId="9" fillId="0" fontId="9" numFmtId="0" xfId="0" applyAlignment="1" applyBorder="1" applyFont="1">
      <alignment readingOrder="0" shrinkToFit="0" vertical="center" wrapText="0"/>
    </xf>
    <xf borderId="10" fillId="0" fontId="12" numFmtId="0" xfId="0" applyAlignment="1" applyBorder="1" applyFont="1">
      <alignment readingOrder="0" shrinkToFit="0" vertical="center" wrapText="0"/>
    </xf>
    <xf borderId="7" fillId="0" fontId="8" numFmtId="166" xfId="0" applyAlignment="1" applyBorder="1" applyFont="1" applyNumberFormat="1">
      <alignment readingOrder="0" shrinkToFit="0" vertical="center" wrapText="0"/>
    </xf>
    <xf borderId="9" fillId="0" fontId="8" numFmtId="0" xfId="0" applyAlignment="1" applyBorder="1" applyFont="1">
      <alignment readingOrder="0" shrinkToFit="0" vertical="center" wrapText="0"/>
    </xf>
    <xf borderId="10" fillId="0" fontId="8" numFmtId="166" xfId="0" applyAlignment="1" applyBorder="1" applyFont="1" applyNumberFormat="1">
      <alignment readingOrder="0" shrinkToFit="0" vertical="center" wrapText="0"/>
    </xf>
    <xf borderId="10" fillId="0" fontId="8" numFmtId="0" xfId="0" applyAlignment="1" applyBorder="1" applyFont="1">
      <alignment shrinkToFit="0" vertical="center" wrapText="0"/>
    </xf>
    <xf borderId="6" fillId="0" fontId="8" numFmtId="0" xfId="0" applyAlignment="1" applyBorder="1" applyFont="1">
      <alignment readingOrder="0" shrinkToFit="0" vertical="center" wrapText="0"/>
    </xf>
    <xf borderId="7" fillId="0" fontId="8" numFmtId="0" xfId="0" applyAlignment="1" applyBorder="1" applyFont="1">
      <alignment shrinkToFit="0" vertical="center" wrapText="0"/>
    </xf>
    <xf borderId="12" fillId="0" fontId="8" numFmtId="0" xfId="0" applyAlignment="1" applyBorder="1" applyFont="1">
      <alignment readingOrder="0" shrinkToFit="0" vertical="center" wrapText="0"/>
    </xf>
    <xf borderId="13" fillId="0" fontId="8" numFmtId="166" xfId="0" applyAlignment="1" applyBorder="1" applyFont="1" applyNumberFormat="1">
      <alignment readingOrder="0" shrinkToFit="0" vertical="center" wrapText="0"/>
    </xf>
    <xf borderId="13" fillId="0" fontId="8" numFmtId="0" xfId="0" applyAlignment="1" applyBorder="1" applyFont="1">
      <alignment shrinkToFit="0" vertical="center" wrapText="0"/>
    </xf>
    <xf borderId="13" fillId="0" fontId="8" numFmtId="0" xfId="0" applyAlignment="1" applyBorder="1" applyFont="1">
      <alignment shrinkToFit="0" vertical="center" wrapText="0"/>
    </xf>
    <xf borderId="14" fillId="0" fontId="8" numFmtId="0" xfId="0" applyAlignment="1" applyBorder="1" applyFont="1">
      <alignment readingOrder="0" shrinkToFit="0" vertical="center" wrapText="0"/>
    </xf>
    <xf borderId="6" fillId="0" fontId="8" numFmtId="0" xfId="0" applyAlignment="1" applyBorder="1" applyFont="1">
      <alignment readingOrder="0" shrinkToFit="0" vertical="center" wrapText="0"/>
    </xf>
    <xf borderId="7" fillId="0" fontId="8" numFmtId="0" xfId="0" applyAlignment="1" applyBorder="1" applyFont="1">
      <alignment readingOrder="0" shrinkToFit="0" vertical="center" wrapText="0"/>
    </xf>
    <xf borderId="7" fillId="0" fontId="8" numFmtId="0" xfId="0" applyAlignment="1" applyBorder="1" applyFont="1">
      <alignment readingOrder="0" shrinkToFit="0" vertical="center" wrapText="0"/>
    </xf>
    <xf borderId="7" fillId="0" fontId="9" numFmtId="0" xfId="0" applyAlignment="1" applyBorder="1" applyFont="1">
      <alignment readingOrder="0" shrinkToFit="0" vertical="center" wrapText="0"/>
    </xf>
    <xf borderId="9" fillId="0" fontId="8" numFmtId="0" xfId="0" applyAlignment="1" applyBorder="1" applyFont="1">
      <alignment readingOrder="0" shrinkToFit="0" vertical="center" wrapText="0"/>
    </xf>
    <xf borderId="10" fillId="0" fontId="8" numFmtId="0" xfId="0" applyAlignment="1" applyBorder="1" applyFont="1">
      <alignment readingOrder="0" shrinkToFit="0" vertical="center" wrapText="0"/>
    </xf>
    <xf borderId="10" fillId="0" fontId="8" numFmtId="0" xfId="0" applyAlignment="1" applyBorder="1" applyFont="1">
      <alignment readingOrder="0" shrinkToFit="0" vertical="center" wrapText="0"/>
    </xf>
    <xf borderId="12" fillId="0" fontId="8" numFmtId="0" xfId="0" applyAlignment="1" applyBorder="1" applyFont="1">
      <alignment readingOrder="0" shrinkToFit="0" vertical="center" wrapText="0"/>
    </xf>
    <xf borderId="13" fillId="0" fontId="8" numFmtId="0" xfId="0" applyAlignment="1" applyBorder="1" applyFont="1">
      <alignment readingOrder="0" shrinkToFit="0" vertical="center" wrapText="0"/>
    </xf>
    <xf borderId="13" fillId="0" fontId="8" numFmtId="0" xfId="0" applyAlignment="1" applyBorder="1" applyFont="1">
      <alignment readingOrder="0" shrinkToFit="0" vertical="center" wrapText="0"/>
    </xf>
    <xf borderId="13" fillId="0" fontId="9" numFmtId="0" xfId="0" applyAlignment="1" applyBorder="1" applyFont="1">
      <alignment readingOrder="0" shrinkToFit="0" vertical="center" wrapText="0"/>
    </xf>
    <xf borderId="0" fillId="0" fontId="8" numFmtId="0" xfId="0" applyFont="1"/>
    <xf borderId="7" fillId="0" fontId="9" numFmtId="0" xfId="0" applyAlignment="1" applyBorder="1" applyFont="1">
      <alignment readingOrder="0" shrinkToFit="0" vertical="center" wrapText="0"/>
    </xf>
    <xf borderId="7" fillId="0" fontId="8" numFmtId="168" xfId="0" applyAlignment="1" applyBorder="1" applyFont="1" applyNumberFormat="1">
      <alignment readingOrder="0" shrinkToFit="0" vertical="center" wrapText="0"/>
    </xf>
    <xf borderId="10" fillId="0" fontId="8" numFmtId="168" xfId="0" applyAlignment="1" applyBorder="1" applyFont="1" applyNumberFormat="1">
      <alignment readingOrder="0" shrinkToFit="0" vertical="center" wrapText="0"/>
    </xf>
    <xf borderId="15" fillId="0" fontId="8" numFmtId="0" xfId="0" applyAlignment="1" applyBorder="1" applyFont="1">
      <alignment readingOrder="0" shrinkToFit="0" vertical="center" wrapText="0"/>
    </xf>
    <xf borderId="15" fillId="0" fontId="9" numFmtId="0" xfId="0" applyAlignment="1" applyBorder="1" applyFont="1">
      <alignment readingOrder="0" shrinkToFit="0" vertical="center" wrapText="0"/>
    </xf>
    <xf borderId="15" fillId="0" fontId="8" numFmtId="168" xfId="0" applyAlignment="1" applyBorder="1" applyFont="1" applyNumberFormat="1">
      <alignment readingOrder="0" shrinkToFit="0" vertical="center" wrapText="0"/>
    </xf>
    <xf borderId="16" fillId="0" fontId="8" numFmtId="0" xfId="0" applyAlignment="1" applyBorder="1" applyFont="1">
      <alignment readingOrder="0"/>
    </xf>
    <xf borderId="16" fillId="0" fontId="8" numFmtId="0" xfId="0" applyBorder="1" applyFont="1"/>
    <xf borderId="0" fillId="0" fontId="8" numFmtId="0" xfId="0" applyAlignment="1" applyFont="1">
      <alignment readingOrder="0"/>
    </xf>
    <xf borderId="0" fillId="0" fontId="13" numFmtId="169" xfId="0" applyAlignment="1" applyFont="1" applyNumberFormat="1">
      <alignment readingOrder="0"/>
    </xf>
    <xf borderId="0" fillId="0" fontId="8" numFmtId="169" xfId="0" applyFont="1" applyNumberFormat="1"/>
    <xf borderId="0" fillId="0" fontId="9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3">
    <tableStyle count="3" pivot="0" name="Insurance Tracking-style">
      <tableStyleElement dxfId="1" type="headerRow"/>
      <tableStyleElement dxfId="2" type="firstRowStripe"/>
      <tableStyleElement dxfId="3" type="secondRowStripe"/>
    </tableStyle>
    <tableStyle count="3" pivot="0" name="OPS Software-style">
      <tableStyleElement dxfId="1" type="headerRow"/>
      <tableStyleElement dxfId="2" type="firstRowStripe"/>
      <tableStyleElement dxfId="3" type="secondRowStripe"/>
    </tableStyle>
    <tableStyle count="3" pivot="0" name="General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I12" displayName="Table4" name="Table4" id="1">
  <tableColumns count="9">
    <tableColumn name="Broker / Company" id="1"/>
    <tableColumn name="Contact" id="2"/>
    <tableColumn name="Date Contacted" id="3"/>
    <tableColumn name="Response Status" id="4"/>
    <tableColumn name="Premium Estimate" id="5"/>
    <tableColumn name="Coverage Notes" id="6"/>
    <tableColumn name="Documents Requested" id="7"/>
    <tableColumn name="Next Action" id="8"/>
    <tableColumn name="Final Decision" id="9"/>
  </tableColumns>
  <tableStyleInfo name="Insurance Tracking-style" showColumnStripes="0" showFirstColumn="1" showLastColumn="1" showRowStripes="1"/>
</table>
</file>

<file path=xl/tables/table2.xml><?xml version="1.0" encoding="utf-8"?>
<table xmlns="http://schemas.openxmlformats.org/spreadsheetml/2006/main" ref="A1:H12" displayName="Table1" name="Table1" id="2">
  <tableColumns count="8">
    <tableColumn name="ID" id="1"/>
    <tableColumn name="Phase" id="2"/>
    <tableColumn name="Sub-Step" id="3"/>
    <tableColumn name="Task" id="4"/>
    <tableColumn name="Owner" id="5"/>
    <tableColumn name="Calendar" id="6"/>
    <tableColumn name="Status" id="7"/>
    <tableColumn name="Notes" id="8"/>
  </tableColumns>
  <tableStyleInfo name="OPS Software-style" showColumnStripes="0" showFirstColumn="1" showLastColumn="1" showRowStripes="1"/>
</table>
</file>

<file path=xl/tables/table3.xml><?xml version="1.0" encoding="utf-8"?>
<table xmlns="http://schemas.openxmlformats.org/spreadsheetml/2006/main" ref="A1:H27" displayName="Table3" name="Table3" id="3">
  <tableColumns count="8">
    <tableColumn name="ID" id="1"/>
    <tableColumn name="Phase" id="2"/>
    <tableColumn name="Sub-Step" id="3"/>
    <tableColumn name="Task" id="4"/>
    <tableColumn name="Owner" id="5"/>
    <tableColumn name="Calendar" id="6"/>
    <tableColumn name="Status" id="7"/>
    <tableColumn name="Notes" id="8"/>
  </tableColumns>
  <tableStyleInfo name="General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ompo-intl.com/insurance/us-general-aviation/" TargetMode="External"/><Relationship Id="rId2" Type="http://schemas.openxmlformats.org/officeDocument/2006/relationships/hyperlink" Target="https://air-pros.com/" TargetMode="External"/><Relationship Id="rId3" Type="http://schemas.openxmlformats.org/officeDocument/2006/relationships/hyperlink" Target="https://www.ajg.com/connect-with-us/?productId=%7BE938830F-E55A-4C08-9F34-96B76562AA42%7D" TargetMode="External"/><Relationship Id="rId4" Type="http://schemas.openxmlformats.org/officeDocument/2006/relationships/hyperlink" Target="https://www.acrisure.com/aerospace" TargetMode="External"/><Relationship Id="rId5" Type="http://schemas.openxmlformats.org/officeDocument/2006/relationships/drawing" Target="../drawings/drawing2.xml"/><Relationship Id="rId7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63"/>
    <col customWidth="1" min="5" max="5" width="19.13"/>
  </cols>
  <sheetData>
    <row r="1">
      <c r="A1" s="1"/>
      <c r="B1" s="1"/>
      <c r="C1" s="1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1"/>
      <c r="Q1" s="3" t="s">
        <v>12</v>
      </c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13</v>
      </c>
      <c r="B2" s="1"/>
      <c r="C2" s="1"/>
      <c r="D2" s="4">
        <v>0.0</v>
      </c>
      <c r="E2" s="5">
        <f t="shared" ref="E2:O2" si="1">D43</f>
        <v>-2028</v>
      </c>
      <c r="F2" s="5">
        <f t="shared" si="1"/>
        <v>550</v>
      </c>
      <c r="G2" s="5">
        <f t="shared" si="1"/>
        <v>550</v>
      </c>
      <c r="H2" s="5">
        <f t="shared" si="1"/>
        <v>1050</v>
      </c>
      <c r="I2" s="5">
        <f t="shared" si="1"/>
        <v>2550</v>
      </c>
      <c r="J2" s="5">
        <f t="shared" si="1"/>
        <v>3050</v>
      </c>
      <c r="K2" s="5">
        <f t="shared" si="1"/>
        <v>3550</v>
      </c>
      <c r="L2" s="5">
        <f t="shared" si="1"/>
        <v>4050</v>
      </c>
      <c r="M2" s="5">
        <f t="shared" si="1"/>
        <v>4550</v>
      </c>
      <c r="N2" s="5">
        <f t="shared" si="1"/>
        <v>5050</v>
      </c>
      <c r="O2" s="5">
        <f t="shared" si="1"/>
        <v>9050</v>
      </c>
      <c r="P2" s="6"/>
      <c r="Q2" s="1" t="s">
        <v>14</v>
      </c>
      <c r="R2" s="1"/>
      <c r="S2" s="7">
        <v>1.0</v>
      </c>
      <c r="T2" s="1"/>
      <c r="U2" s="1"/>
      <c r="V2" s="1"/>
      <c r="W2" s="1"/>
      <c r="X2" s="1"/>
      <c r="Y2" s="1"/>
      <c r="Z2" s="1"/>
    </row>
    <row r="3">
      <c r="A3" s="1" t="s">
        <v>15</v>
      </c>
      <c r="B3" s="1"/>
      <c r="C3" s="1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1"/>
      <c r="Q3" s="1" t="s">
        <v>16</v>
      </c>
      <c r="R3" s="7">
        <v>500.0</v>
      </c>
      <c r="S3" s="7">
        <v>1000.0</v>
      </c>
      <c r="T3" s="7">
        <v>2000.0</v>
      </c>
      <c r="U3" s="1"/>
      <c r="V3" s="1"/>
      <c r="W3" s="1"/>
      <c r="X3" s="1"/>
      <c r="Y3" s="1"/>
      <c r="Z3" s="1"/>
    </row>
    <row r="4">
      <c r="A4" s="1"/>
      <c r="B4" s="9" t="s">
        <v>17</v>
      </c>
      <c r="C4" s="1"/>
      <c r="D4" s="10">
        <v>1.0</v>
      </c>
      <c r="E4" s="11">
        <v>3.0</v>
      </c>
      <c r="F4" s="10">
        <v>3.0</v>
      </c>
      <c r="G4" s="10">
        <v>4.0</v>
      </c>
      <c r="H4" s="10">
        <v>7.0</v>
      </c>
      <c r="I4" s="10">
        <v>8.0</v>
      </c>
      <c r="J4" s="10">
        <v>9.0</v>
      </c>
      <c r="K4" s="10">
        <v>10.0</v>
      </c>
      <c r="L4" s="10">
        <v>11.0</v>
      </c>
      <c r="M4" s="10">
        <v>12.0</v>
      </c>
      <c r="N4" s="10">
        <v>20.0</v>
      </c>
      <c r="O4" s="10">
        <v>25.0</v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 t="s">
        <v>18</v>
      </c>
      <c r="C5" s="1"/>
      <c r="D5" s="12">
        <f>SUM(D4*R11)</f>
        <v>500</v>
      </c>
      <c r="E5" s="12">
        <f>SUM(E4*R11)</f>
        <v>1500</v>
      </c>
      <c r="F5" s="12">
        <f>SUM(F4*R11)</f>
        <v>1500</v>
      </c>
      <c r="G5" s="12">
        <f>SUM(G4*R11)</f>
        <v>2000</v>
      </c>
      <c r="H5" s="12">
        <f>SUM(H4*R11)</f>
        <v>3500</v>
      </c>
      <c r="I5" s="12">
        <f>SUM(I4*R11)</f>
        <v>4000</v>
      </c>
      <c r="J5" s="12">
        <f>SUM(J4*R11)</f>
        <v>4500</v>
      </c>
      <c r="K5" s="12">
        <f>SUM(K4*R11)</f>
        <v>5000</v>
      </c>
      <c r="L5" s="12">
        <f>SUM(L4*R11)</f>
        <v>5500</v>
      </c>
      <c r="M5" s="12">
        <f>SUM(M4*R11)</f>
        <v>6000</v>
      </c>
      <c r="N5" s="12">
        <f>SUM(N4*R11)</f>
        <v>10000</v>
      </c>
      <c r="O5" s="12">
        <f>SUM(O4*R11)</f>
        <v>12500</v>
      </c>
      <c r="P5" s="1"/>
      <c r="Q5" s="1" t="s">
        <v>19</v>
      </c>
      <c r="R5" s="7">
        <f>SUM(R2:T2)</f>
        <v>1</v>
      </c>
      <c r="S5" s="1"/>
      <c r="T5" s="1"/>
      <c r="U5" s="1"/>
      <c r="V5" s="1"/>
      <c r="W5" s="1"/>
      <c r="X5" s="1"/>
      <c r="Y5" s="1"/>
      <c r="Z5" s="1"/>
    </row>
    <row r="6">
      <c r="A6" s="1"/>
      <c r="B6" s="9" t="s">
        <v>20</v>
      </c>
      <c r="C6" s="1"/>
      <c r="D6" s="13">
        <f>SUM(R12*D4)</f>
        <v>0</v>
      </c>
      <c r="E6" s="13">
        <f>SUM(R12*E4)</f>
        <v>0</v>
      </c>
      <c r="F6" s="13">
        <f>SUM(R12*F4)</f>
        <v>0</v>
      </c>
      <c r="G6" s="13">
        <f>SUM(R12*G4)</f>
        <v>0</v>
      </c>
      <c r="H6" s="13">
        <f>SUM(R12*H4)</f>
        <v>0</v>
      </c>
      <c r="I6" s="13">
        <f>SUM(R12*I4)</f>
        <v>0</v>
      </c>
      <c r="J6" s="13">
        <f>SUM(R12*J4)</f>
        <v>0</v>
      </c>
      <c r="K6" s="13">
        <f>SUM(R12*K4)</f>
        <v>0</v>
      </c>
      <c r="L6" s="13">
        <f>SUM(R12*L4)</f>
        <v>0</v>
      </c>
      <c r="M6" s="13">
        <f>SUM(R12*M4)</f>
        <v>0</v>
      </c>
      <c r="N6" s="13">
        <f>SUM(R12*N4)</f>
        <v>0</v>
      </c>
      <c r="O6" s="13">
        <f>SUM(R12*O4)</f>
        <v>0</v>
      </c>
      <c r="P6" s="1"/>
      <c r="Q6" s="3" t="s">
        <v>21</v>
      </c>
      <c r="R6" s="7">
        <f>(R3*R2)+(S3*S2)+(T3*T2)</f>
        <v>1000</v>
      </c>
      <c r="S6" s="1"/>
      <c r="T6" s="1"/>
      <c r="U6" s="1"/>
      <c r="V6" s="1"/>
      <c r="W6" s="1"/>
      <c r="X6" s="1"/>
      <c r="Y6" s="1"/>
      <c r="Z6" s="1"/>
    </row>
    <row r="7">
      <c r="A7" s="1"/>
      <c r="B7" s="9" t="s">
        <v>22</v>
      </c>
      <c r="C7" s="1"/>
      <c r="D7" s="13">
        <v>0.0</v>
      </c>
      <c r="E7" s="13">
        <v>0.0</v>
      </c>
      <c r="F7" s="13">
        <v>0.0</v>
      </c>
      <c r="G7" s="13">
        <v>0.0</v>
      </c>
      <c r="H7" s="13">
        <v>0.0</v>
      </c>
      <c r="I7" s="13">
        <v>0.0</v>
      </c>
      <c r="J7" s="13">
        <v>0.0</v>
      </c>
      <c r="K7" s="13">
        <v>0.0</v>
      </c>
      <c r="L7" s="13">
        <v>0.0</v>
      </c>
      <c r="M7" s="13">
        <v>0.0</v>
      </c>
      <c r="N7" s="13">
        <v>0.0</v>
      </c>
      <c r="O7" s="13">
        <v>0.0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 t="s">
        <v>23</v>
      </c>
      <c r="B8" s="1"/>
      <c r="C8" s="1"/>
      <c r="D8" s="14">
        <f t="shared" ref="D8:O8" si="2">SUM(D5:D7)</f>
        <v>500</v>
      </c>
      <c r="E8" s="14">
        <f t="shared" si="2"/>
        <v>1500</v>
      </c>
      <c r="F8" s="14">
        <f t="shared" si="2"/>
        <v>1500</v>
      </c>
      <c r="G8" s="14">
        <f t="shared" si="2"/>
        <v>2000</v>
      </c>
      <c r="H8" s="14">
        <f t="shared" si="2"/>
        <v>3500</v>
      </c>
      <c r="I8" s="14">
        <f t="shared" si="2"/>
        <v>4000</v>
      </c>
      <c r="J8" s="14">
        <f t="shared" si="2"/>
        <v>4500</v>
      </c>
      <c r="K8" s="14">
        <f t="shared" si="2"/>
        <v>5000</v>
      </c>
      <c r="L8" s="14">
        <f t="shared" si="2"/>
        <v>5500</v>
      </c>
      <c r="M8" s="14">
        <f t="shared" si="2"/>
        <v>6000</v>
      </c>
      <c r="N8" s="14">
        <f t="shared" si="2"/>
        <v>10000</v>
      </c>
      <c r="O8" s="14">
        <f t="shared" si="2"/>
        <v>12500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5" t="s">
        <v>24</v>
      </c>
      <c r="C11" s="16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1"/>
      <c r="Q11" s="9" t="s">
        <v>25</v>
      </c>
      <c r="R11" s="17">
        <v>500.0</v>
      </c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8" t="s">
        <v>26</v>
      </c>
      <c r="D12" s="13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  <c r="N12" s="4">
        <v>0.0</v>
      </c>
      <c r="O12" s="4">
        <v>0.0</v>
      </c>
      <c r="P12" s="1"/>
      <c r="Q12" s="9" t="s">
        <v>27</v>
      </c>
      <c r="R12" s="17">
        <v>0.0</v>
      </c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  <c r="N13" s="4">
        <v>0.0</v>
      </c>
      <c r="O13" s="4">
        <v>0.0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  <c r="N14" s="4">
        <v>0.0</v>
      </c>
      <c r="O14" s="4">
        <v>0.0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9" t="s">
        <v>28</v>
      </c>
      <c r="E15" s="19" t="s">
        <v>28</v>
      </c>
      <c r="F15" s="19" t="s">
        <v>28</v>
      </c>
      <c r="G15" s="19" t="s">
        <v>28</v>
      </c>
      <c r="H15" s="19" t="s">
        <v>28</v>
      </c>
      <c r="I15" s="19" t="s">
        <v>28</v>
      </c>
      <c r="J15" s="19" t="s">
        <v>28</v>
      </c>
      <c r="K15" s="19" t="s">
        <v>28</v>
      </c>
      <c r="L15" s="19" t="s">
        <v>28</v>
      </c>
      <c r="M15" s="19" t="s">
        <v>28</v>
      </c>
      <c r="N15" s="19" t="s">
        <v>28</v>
      </c>
      <c r="O15" s="19" t="s">
        <v>28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3" t="s">
        <v>29</v>
      </c>
      <c r="C16" s="1"/>
      <c r="D16" s="5">
        <f t="shared" ref="D16:O16" si="3">SUM(D12:D15)</f>
        <v>0</v>
      </c>
      <c r="E16" s="5">
        <f t="shared" si="3"/>
        <v>0</v>
      </c>
      <c r="F16" s="5">
        <f t="shared" si="3"/>
        <v>0</v>
      </c>
      <c r="G16" s="5">
        <f t="shared" si="3"/>
        <v>0</v>
      </c>
      <c r="H16" s="5">
        <f t="shared" si="3"/>
        <v>0</v>
      </c>
      <c r="I16" s="5">
        <f t="shared" si="3"/>
        <v>0</v>
      </c>
      <c r="J16" s="5">
        <f t="shared" si="3"/>
        <v>0</v>
      </c>
      <c r="K16" s="5">
        <f t="shared" si="3"/>
        <v>0</v>
      </c>
      <c r="L16" s="5">
        <f t="shared" si="3"/>
        <v>0</v>
      </c>
      <c r="M16" s="5">
        <f t="shared" si="3"/>
        <v>0</v>
      </c>
      <c r="N16" s="5">
        <f t="shared" si="3"/>
        <v>0</v>
      </c>
      <c r="O16" s="5">
        <f t="shared" si="3"/>
        <v>0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5" t="s">
        <v>30</v>
      </c>
      <c r="C18" s="16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9" t="s">
        <v>31</v>
      </c>
      <c r="D19" s="13">
        <f>SUM(R12*D4)</f>
        <v>0</v>
      </c>
      <c r="E19" s="13">
        <f>SUM(R12*E4)</f>
        <v>0</v>
      </c>
      <c r="F19" s="13">
        <f>SUM(R12*F4)</f>
        <v>0</v>
      </c>
      <c r="G19" s="13">
        <f>SUM(R12*G4)</f>
        <v>0</v>
      </c>
      <c r="H19" s="13">
        <f>SUM(R12*H4)</f>
        <v>0</v>
      </c>
      <c r="I19" s="13">
        <f>SUM(R12*I4)</f>
        <v>0</v>
      </c>
      <c r="J19" s="13">
        <f>SUM(R12*J4)</f>
        <v>0</v>
      </c>
      <c r="K19" s="13">
        <f>SUM(R12*K4)</f>
        <v>0</v>
      </c>
      <c r="L19" s="13">
        <f>SUM(R12*L4)</f>
        <v>0</v>
      </c>
      <c r="M19" s="13">
        <f>SUM(R12*M4)</f>
        <v>0</v>
      </c>
      <c r="N19" s="13">
        <f>SUM(R12*N4)</f>
        <v>0</v>
      </c>
      <c r="O19" s="13">
        <f>SUM(R12*O4)</f>
        <v>0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 t="s">
        <v>32</v>
      </c>
      <c r="D20" s="20">
        <v>750.0</v>
      </c>
      <c r="E20" s="20">
        <v>750.0</v>
      </c>
      <c r="F20" s="20">
        <v>750.0</v>
      </c>
      <c r="G20" s="20">
        <v>750.0</v>
      </c>
      <c r="H20" s="20">
        <v>750.0</v>
      </c>
      <c r="I20" s="20">
        <v>750.0</v>
      </c>
      <c r="J20" s="20">
        <v>750.0</v>
      </c>
      <c r="K20" s="20">
        <v>750.0</v>
      </c>
      <c r="L20" s="20">
        <v>750.0</v>
      </c>
      <c r="M20" s="20">
        <v>750.0</v>
      </c>
      <c r="N20" s="20">
        <v>750.0</v>
      </c>
      <c r="O20" s="20">
        <v>750.0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9" t="s">
        <v>33</v>
      </c>
      <c r="D21" s="13">
        <v>276.0</v>
      </c>
      <c r="E21" s="13">
        <v>0.0</v>
      </c>
      <c r="F21" s="13">
        <v>0.0</v>
      </c>
      <c r="G21" s="13">
        <v>0.0</v>
      </c>
      <c r="H21" s="13">
        <v>0.0</v>
      </c>
      <c r="I21" s="13">
        <v>0.0</v>
      </c>
      <c r="J21" s="13">
        <v>0.0</v>
      </c>
      <c r="K21" s="13">
        <v>0.0</v>
      </c>
      <c r="L21" s="13">
        <v>0.0</v>
      </c>
      <c r="M21" s="13">
        <v>0.0</v>
      </c>
      <c r="N21" s="13">
        <v>0.0</v>
      </c>
      <c r="O21" s="13">
        <v>0.0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9" t="s">
        <v>34</v>
      </c>
      <c r="D22" s="13">
        <v>252.0</v>
      </c>
      <c r="E22" s="13">
        <v>0.0</v>
      </c>
      <c r="F22" s="13">
        <v>0.0</v>
      </c>
      <c r="G22" s="13">
        <v>0.0</v>
      </c>
      <c r="H22" s="13">
        <v>0.0</v>
      </c>
      <c r="I22" s="13">
        <v>0.0</v>
      </c>
      <c r="J22" s="13">
        <v>0.0</v>
      </c>
      <c r="K22" s="13">
        <v>0.0</v>
      </c>
      <c r="L22" s="13">
        <v>0.0</v>
      </c>
      <c r="M22" s="13">
        <v>0.0</v>
      </c>
      <c r="N22" s="13">
        <v>0.0</v>
      </c>
      <c r="O22" s="13">
        <v>0.0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9" t="s">
        <v>35</v>
      </c>
      <c r="D23" s="13">
        <v>250.0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  <c r="N23" s="4">
        <v>0.0</v>
      </c>
      <c r="O23" s="4">
        <v>0.0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9" t="s">
        <v>36</v>
      </c>
      <c r="D24" s="13">
        <v>0.0</v>
      </c>
      <c r="E24" s="13">
        <v>0.0</v>
      </c>
      <c r="F24" s="13">
        <v>0.0</v>
      </c>
      <c r="G24" s="13">
        <v>0.0</v>
      </c>
      <c r="H24" s="13">
        <v>0.0</v>
      </c>
      <c r="I24" s="13">
        <v>0.0</v>
      </c>
      <c r="J24" s="13">
        <v>0.0</v>
      </c>
      <c r="K24" s="13">
        <v>0.0</v>
      </c>
      <c r="L24" s="13">
        <v>0.0</v>
      </c>
      <c r="M24" s="13">
        <v>0.0</v>
      </c>
      <c r="N24" s="13">
        <v>0.0</v>
      </c>
      <c r="O24" s="13">
        <v>0.0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8" t="s">
        <v>37</v>
      </c>
      <c r="D25" s="4">
        <v>0.0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  <c r="N25" s="4">
        <v>0.0</v>
      </c>
      <c r="O25" s="4">
        <v>0.0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9" t="s">
        <v>28</v>
      </c>
      <c r="E27" s="19" t="s">
        <v>28</v>
      </c>
      <c r="F27" s="19" t="s">
        <v>28</v>
      </c>
      <c r="G27" s="19" t="s">
        <v>28</v>
      </c>
      <c r="H27" s="19" t="s">
        <v>28</v>
      </c>
      <c r="I27" s="19" t="s">
        <v>28</v>
      </c>
      <c r="J27" s="19" t="s">
        <v>28</v>
      </c>
      <c r="K27" s="19" t="s">
        <v>28</v>
      </c>
      <c r="L27" s="19" t="s">
        <v>28</v>
      </c>
      <c r="M27" s="19" t="s">
        <v>28</v>
      </c>
      <c r="N27" s="19" t="s">
        <v>28</v>
      </c>
      <c r="O27" s="19" t="s">
        <v>28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3" t="s">
        <v>38</v>
      </c>
      <c r="C28" s="1"/>
      <c r="D28" s="5">
        <f t="shared" ref="D28:O28" si="4">SUM(D20:D27)</f>
        <v>1528</v>
      </c>
      <c r="E28" s="5">
        <f t="shared" si="4"/>
        <v>750</v>
      </c>
      <c r="F28" s="5">
        <f t="shared" si="4"/>
        <v>750</v>
      </c>
      <c r="G28" s="5">
        <f t="shared" si="4"/>
        <v>750</v>
      </c>
      <c r="H28" s="5">
        <f t="shared" si="4"/>
        <v>750</v>
      </c>
      <c r="I28" s="5">
        <f t="shared" si="4"/>
        <v>750</v>
      </c>
      <c r="J28" s="5">
        <f t="shared" si="4"/>
        <v>750</v>
      </c>
      <c r="K28" s="5">
        <f t="shared" si="4"/>
        <v>750</v>
      </c>
      <c r="L28" s="5">
        <f t="shared" si="4"/>
        <v>750</v>
      </c>
      <c r="M28" s="5">
        <f t="shared" si="4"/>
        <v>750</v>
      </c>
      <c r="N28" s="5">
        <f t="shared" si="4"/>
        <v>750</v>
      </c>
      <c r="O28" s="5">
        <f t="shared" si="4"/>
        <v>750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21" t="s">
        <v>39</v>
      </c>
      <c r="C30" s="16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8"/>
      <c r="D31" s="4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8" t="s">
        <v>40</v>
      </c>
      <c r="D32" s="20">
        <v>0.0</v>
      </c>
      <c r="E32" s="20">
        <v>0.0</v>
      </c>
      <c r="F32" s="20">
        <v>0.0</v>
      </c>
      <c r="G32" s="20">
        <v>0.0</v>
      </c>
      <c r="H32" s="20">
        <v>0.0</v>
      </c>
      <c r="I32" s="20">
        <v>0.0</v>
      </c>
      <c r="J32" s="20">
        <v>0.0</v>
      </c>
      <c r="K32" s="20">
        <v>0.0</v>
      </c>
      <c r="L32" s="20">
        <v>0.0</v>
      </c>
      <c r="M32" s="20">
        <v>0.0</v>
      </c>
      <c r="N32" s="20">
        <v>0.0</v>
      </c>
      <c r="O32" s="20">
        <v>0.0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 t="s">
        <v>41</v>
      </c>
      <c r="D33" s="4">
        <v>100.0</v>
      </c>
      <c r="E33" s="4">
        <v>100.0</v>
      </c>
      <c r="F33" s="4">
        <v>100.0</v>
      </c>
      <c r="G33" s="4">
        <v>100.0</v>
      </c>
      <c r="H33" s="4">
        <v>100.0</v>
      </c>
      <c r="I33" s="4">
        <v>100.0</v>
      </c>
      <c r="J33" s="4">
        <v>100.0</v>
      </c>
      <c r="K33" s="4">
        <v>100.0</v>
      </c>
      <c r="L33" s="4">
        <v>100.0</v>
      </c>
      <c r="M33" s="4">
        <v>100.0</v>
      </c>
      <c r="N33" s="4">
        <v>100.0</v>
      </c>
      <c r="O33" s="4">
        <v>100.0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 t="s">
        <v>42</v>
      </c>
      <c r="D34" s="4">
        <v>800.0</v>
      </c>
      <c r="E34" s="13">
        <v>0.0</v>
      </c>
      <c r="F34" s="13">
        <v>0.0</v>
      </c>
      <c r="G34" s="13">
        <v>0.0</v>
      </c>
      <c r="H34" s="13">
        <v>0.0</v>
      </c>
      <c r="I34" s="13">
        <v>0.0</v>
      </c>
      <c r="J34" s="13">
        <v>0.0</v>
      </c>
      <c r="K34" s="13">
        <v>0.0</v>
      </c>
      <c r="L34" s="13">
        <v>0.0</v>
      </c>
      <c r="M34" s="13">
        <v>0.0</v>
      </c>
      <c r="N34" s="13">
        <v>0.0</v>
      </c>
      <c r="O34" s="13">
        <v>0.0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9" t="s">
        <v>43</v>
      </c>
      <c r="D35" s="13">
        <v>100.0</v>
      </c>
      <c r="E35" s="13">
        <v>100.0</v>
      </c>
      <c r="F35" s="13">
        <v>100.0</v>
      </c>
      <c r="G35" s="13">
        <v>100.0</v>
      </c>
      <c r="H35" s="13">
        <v>100.0</v>
      </c>
      <c r="I35" s="13">
        <v>100.0</v>
      </c>
      <c r="J35" s="13">
        <v>100.0</v>
      </c>
      <c r="K35" s="13">
        <v>100.0</v>
      </c>
      <c r="L35" s="13">
        <v>100.0</v>
      </c>
      <c r="M35" s="13">
        <v>100.0</v>
      </c>
      <c r="N35" s="13">
        <v>100.0</v>
      </c>
      <c r="O35" s="13">
        <v>100.0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9" t="s">
        <v>28</v>
      </c>
      <c r="E37" s="19" t="s">
        <v>28</v>
      </c>
      <c r="F37" s="19" t="s">
        <v>28</v>
      </c>
      <c r="G37" s="19" t="s">
        <v>28</v>
      </c>
      <c r="H37" s="19" t="s">
        <v>28</v>
      </c>
      <c r="I37" s="19" t="s">
        <v>28</v>
      </c>
      <c r="J37" s="19" t="s">
        <v>28</v>
      </c>
      <c r="K37" s="19" t="s">
        <v>28</v>
      </c>
      <c r="L37" s="19" t="s">
        <v>28</v>
      </c>
      <c r="M37" s="19" t="s">
        <v>28</v>
      </c>
      <c r="N37" s="19" t="s">
        <v>28</v>
      </c>
      <c r="O37" s="19" t="s">
        <v>28</v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3" t="s">
        <v>44</v>
      </c>
      <c r="C38" s="1"/>
      <c r="D38" s="5">
        <f t="shared" ref="D38:O38" si="5">SUM(D33:D37)</f>
        <v>1000</v>
      </c>
      <c r="E38" s="5">
        <f t="shared" si="5"/>
        <v>200</v>
      </c>
      <c r="F38" s="5">
        <f t="shared" si="5"/>
        <v>200</v>
      </c>
      <c r="G38" s="5">
        <f t="shared" si="5"/>
        <v>200</v>
      </c>
      <c r="H38" s="5">
        <f t="shared" si="5"/>
        <v>200</v>
      </c>
      <c r="I38" s="5">
        <f t="shared" si="5"/>
        <v>200</v>
      </c>
      <c r="J38" s="5">
        <f t="shared" si="5"/>
        <v>200</v>
      </c>
      <c r="K38" s="5">
        <f t="shared" si="5"/>
        <v>200</v>
      </c>
      <c r="L38" s="5">
        <f t="shared" si="5"/>
        <v>200</v>
      </c>
      <c r="M38" s="5">
        <f t="shared" si="5"/>
        <v>200</v>
      </c>
      <c r="N38" s="5">
        <f t="shared" si="5"/>
        <v>200</v>
      </c>
      <c r="O38" s="5">
        <f t="shared" si="5"/>
        <v>200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 t="s">
        <v>45</v>
      </c>
      <c r="B40" s="1"/>
      <c r="C40" s="1"/>
      <c r="D40" s="14">
        <f t="shared" ref="D40:O40" si="6">D38+D28+D16</f>
        <v>2528</v>
      </c>
      <c r="E40" s="14">
        <f t="shared" si="6"/>
        <v>950</v>
      </c>
      <c r="F40" s="14">
        <f t="shared" si="6"/>
        <v>950</v>
      </c>
      <c r="G40" s="14">
        <f t="shared" si="6"/>
        <v>950</v>
      </c>
      <c r="H40" s="14">
        <f t="shared" si="6"/>
        <v>950</v>
      </c>
      <c r="I40" s="14">
        <f t="shared" si="6"/>
        <v>950</v>
      </c>
      <c r="J40" s="14">
        <f t="shared" si="6"/>
        <v>950</v>
      </c>
      <c r="K40" s="14">
        <f t="shared" si="6"/>
        <v>950</v>
      </c>
      <c r="L40" s="14">
        <f t="shared" si="6"/>
        <v>950</v>
      </c>
      <c r="M40" s="14">
        <f t="shared" si="6"/>
        <v>950</v>
      </c>
      <c r="N40" s="14">
        <f t="shared" si="6"/>
        <v>950</v>
      </c>
      <c r="O40" s="14">
        <f t="shared" si="6"/>
        <v>950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 t="s">
        <v>46</v>
      </c>
      <c r="B43" s="1"/>
      <c r="C43" s="1"/>
      <c r="D43" s="14">
        <f t="shared" ref="D43:O43" si="7">D8-D40</f>
        <v>-2028</v>
      </c>
      <c r="E43" s="14">
        <f t="shared" si="7"/>
        <v>550</v>
      </c>
      <c r="F43" s="14">
        <f t="shared" si="7"/>
        <v>550</v>
      </c>
      <c r="G43" s="14">
        <f t="shared" si="7"/>
        <v>1050</v>
      </c>
      <c r="H43" s="14">
        <f t="shared" si="7"/>
        <v>2550</v>
      </c>
      <c r="I43" s="14">
        <f t="shared" si="7"/>
        <v>3050</v>
      </c>
      <c r="J43" s="14">
        <f t="shared" si="7"/>
        <v>3550</v>
      </c>
      <c r="K43" s="14">
        <f t="shared" si="7"/>
        <v>4050</v>
      </c>
      <c r="L43" s="14">
        <f t="shared" si="7"/>
        <v>4550</v>
      </c>
      <c r="M43" s="14">
        <f t="shared" si="7"/>
        <v>5050</v>
      </c>
      <c r="N43" s="14">
        <f t="shared" si="7"/>
        <v>9050</v>
      </c>
      <c r="O43" s="14">
        <f t="shared" si="7"/>
        <v>11550</v>
      </c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3" t="s">
        <v>47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9" t="s">
        <v>48</v>
      </c>
      <c r="C48" s="22">
        <v>250.0</v>
      </c>
      <c r="D48" s="23"/>
      <c r="E48" s="18" t="s">
        <v>49</v>
      </c>
      <c r="F48" s="18">
        <v>25.0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9" t="s">
        <v>50</v>
      </c>
      <c r="C49" s="17">
        <v>256.0</v>
      </c>
      <c r="D49" s="1"/>
      <c r="E49" s="18" t="s">
        <v>51</v>
      </c>
      <c r="F49" s="18">
        <v>50.0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9" t="s">
        <v>48</v>
      </c>
      <c r="C50" s="17">
        <v>79.0</v>
      </c>
      <c r="D50" s="1"/>
      <c r="E50" s="18" t="s">
        <v>52</v>
      </c>
      <c r="F50" s="18">
        <v>79.0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9"/>
      <c r="C51" s="17"/>
      <c r="D51" s="1"/>
      <c r="E51" s="18" t="s">
        <v>53</v>
      </c>
      <c r="F51" s="18">
        <v>249.0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9" t="s">
        <v>48</v>
      </c>
      <c r="C52" s="17">
        <v>50.0</v>
      </c>
      <c r="D52" s="1"/>
      <c r="E52" s="18" t="s">
        <v>54</v>
      </c>
      <c r="F52" s="18">
        <v>256.0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9" t="s">
        <v>50</v>
      </c>
      <c r="C53" s="17">
        <v>25.0</v>
      </c>
      <c r="D53" s="1"/>
      <c r="E53" s="18" t="s">
        <v>55</v>
      </c>
      <c r="F53" s="18">
        <v>83.54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9" t="s">
        <v>34</v>
      </c>
      <c r="C54" s="17">
        <v>168.0</v>
      </c>
      <c r="D54" s="1"/>
      <c r="E54" s="18" t="s">
        <v>56</v>
      </c>
      <c r="F54" s="18">
        <v>83.54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9" t="s">
        <v>57</v>
      </c>
      <c r="C55" s="7">
        <v>55.98</v>
      </c>
      <c r="D55" s="1"/>
      <c r="E55" s="18" t="s">
        <v>58</v>
      </c>
      <c r="F55" s="18">
        <v>19.73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24"/>
      <c r="C56" s="25"/>
      <c r="D56" s="1"/>
      <c r="E56" s="18" t="s">
        <v>59</v>
      </c>
      <c r="F56" s="18">
        <v>55.98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26" t="s">
        <v>60</v>
      </c>
      <c r="C57" s="27">
        <f>SUM(C48:C56)</f>
        <v>883.98</v>
      </c>
      <c r="D57" s="1"/>
      <c r="E57" s="1"/>
      <c r="F57" s="18" t="s">
        <v>61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28"/>
      <c r="C58" s="28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28"/>
      <c r="C59" s="28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28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28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28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28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13"/>
    <col customWidth="1" min="2" max="2" width="20.25"/>
    <col customWidth="1" min="3" max="3" width="24.25"/>
    <col customWidth="1" min="4" max="4" width="19.38"/>
    <col customWidth="1" min="5" max="5" width="17.38"/>
    <col customWidth="1" min="6" max="6" width="22.38"/>
    <col customWidth="1" min="7" max="7" width="20.38"/>
    <col customWidth="1" min="8" max="8" width="16.0"/>
  </cols>
  <sheetData>
    <row r="1">
      <c r="A1" s="29" t="s">
        <v>62</v>
      </c>
      <c r="B1" s="30" t="s">
        <v>63</v>
      </c>
      <c r="C1" s="31" t="s">
        <v>64</v>
      </c>
      <c r="D1" s="31" t="s">
        <v>65</v>
      </c>
      <c r="E1" s="31" t="s">
        <v>66</v>
      </c>
      <c r="F1" s="31" t="s">
        <v>67</v>
      </c>
      <c r="G1" s="31" t="s">
        <v>68</v>
      </c>
      <c r="H1" s="31" t="s">
        <v>69</v>
      </c>
      <c r="I1" s="32" t="s">
        <v>70</v>
      </c>
    </row>
    <row r="2">
      <c r="A2" s="33" t="s">
        <v>71</v>
      </c>
      <c r="B2" s="34"/>
      <c r="C2" s="34">
        <v>45915.0</v>
      </c>
      <c r="D2" s="35" t="s">
        <v>72</v>
      </c>
      <c r="I2" s="36" t="s">
        <v>72</v>
      </c>
    </row>
    <row r="3">
      <c r="A3" s="37" t="s">
        <v>73</v>
      </c>
      <c r="B3" s="38"/>
      <c r="C3" s="38">
        <v>45915.0</v>
      </c>
      <c r="D3" s="39" t="s">
        <v>74</v>
      </c>
      <c r="F3" s="40" t="s">
        <v>75</v>
      </c>
      <c r="I3" s="41" t="s">
        <v>76</v>
      </c>
    </row>
    <row r="4">
      <c r="A4" s="42" t="s">
        <v>77</v>
      </c>
      <c r="B4" s="34"/>
      <c r="C4" s="34">
        <v>45915.0</v>
      </c>
      <c r="D4" s="43" t="s">
        <v>78</v>
      </c>
      <c r="I4" s="36" t="s">
        <v>72</v>
      </c>
    </row>
    <row r="5">
      <c r="A5" s="44" t="s">
        <v>79</v>
      </c>
      <c r="B5" s="45" t="s">
        <v>80</v>
      </c>
      <c r="C5" s="46">
        <v>45915.0</v>
      </c>
      <c r="D5" s="47" t="s">
        <v>78</v>
      </c>
      <c r="E5" s="48">
        <v>9000.0</v>
      </c>
      <c r="F5" s="49"/>
      <c r="G5" s="50" t="s">
        <v>81</v>
      </c>
      <c r="H5" s="50" t="s">
        <v>82</v>
      </c>
      <c r="I5" s="51" t="s">
        <v>72</v>
      </c>
    </row>
    <row r="6">
      <c r="A6" s="52" t="s">
        <v>83</v>
      </c>
      <c r="B6" s="53" t="s">
        <v>84</v>
      </c>
      <c r="C6" s="54">
        <v>45916.0</v>
      </c>
      <c r="D6" s="55" t="s">
        <v>72</v>
      </c>
      <c r="E6" s="56"/>
      <c r="F6" s="56"/>
      <c r="G6" s="56"/>
      <c r="H6" s="56"/>
      <c r="I6" s="36" t="s">
        <v>72</v>
      </c>
    </row>
    <row r="7">
      <c r="A7" s="57" t="s">
        <v>85</v>
      </c>
      <c r="B7" s="58" t="s">
        <v>86</v>
      </c>
      <c r="C7" s="46">
        <v>45917.0</v>
      </c>
      <c r="D7" s="47" t="s">
        <v>72</v>
      </c>
      <c r="E7" s="49"/>
      <c r="F7" s="49"/>
      <c r="G7" s="49"/>
      <c r="H7" s="49"/>
      <c r="I7" s="51" t="s">
        <v>72</v>
      </c>
    </row>
    <row r="8">
      <c r="A8" s="52" t="s">
        <v>87</v>
      </c>
      <c r="B8" s="53" t="s">
        <v>88</v>
      </c>
      <c r="C8" s="59"/>
      <c r="D8" s="55" t="s">
        <v>78</v>
      </c>
      <c r="E8" s="56"/>
      <c r="F8" s="56"/>
      <c r="G8" s="56"/>
      <c r="H8" s="56"/>
      <c r="I8" s="36" t="s">
        <v>72</v>
      </c>
    </row>
    <row r="9">
      <c r="A9" s="60"/>
      <c r="B9" s="61"/>
      <c r="C9" s="61"/>
      <c r="D9" s="62"/>
      <c r="E9" s="49"/>
      <c r="F9" s="49"/>
      <c r="G9" s="49"/>
      <c r="H9" s="49"/>
      <c r="I9" s="51" t="s">
        <v>72</v>
      </c>
    </row>
    <row r="10">
      <c r="A10" s="63"/>
      <c r="B10" s="59"/>
      <c r="C10" s="59"/>
      <c r="D10" s="64"/>
      <c r="E10" s="56"/>
      <c r="F10" s="56"/>
      <c r="G10" s="56"/>
      <c r="H10" s="56"/>
      <c r="I10" s="36" t="s">
        <v>72</v>
      </c>
    </row>
    <row r="11">
      <c r="A11" s="60"/>
      <c r="B11" s="61"/>
      <c r="C11" s="61"/>
      <c r="D11" s="62"/>
      <c r="E11" s="49"/>
      <c r="F11" s="49"/>
      <c r="G11" s="49"/>
      <c r="H11" s="49"/>
      <c r="I11" s="51" t="s">
        <v>72</v>
      </c>
    </row>
    <row r="12">
      <c r="A12" s="65"/>
      <c r="B12" s="66"/>
      <c r="C12" s="66"/>
      <c r="D12" s="67"/>
      <c r="E12" s="68"/>
      <c r="F12" s="68"/>
      <c r="G12" s="68"/>
      <c r="H12" s="68"/>
      <c r="I12" s="69" t="s">
        <v>72</v>
      </c>
    </row>
  </sheetData>
  <dataValidations>
    <dataValidation type="custom" allowBlank="1" showDropDown="1" sqref="C2:C12">
      <formula1>OR(NOT(ISERROR(DATEVALUE(C2))), AND(ISNUMBER(C2), LEFT(CELL("format", C2))="D"))</formula1>
    </dataValidation>
    <dataValidation type="list" allowBlank="1" sqref="D2:D12">
      <formula1>"Pending,Processing,Finished"</formula1>
    </dataValidation>
  </dataValidations>
  <hyperlinks>
    <hyperlink r:id="rId1" ref="A5"/>
    <hyperlink r:id="rId2" ref="B6"/>
    <hyperlink r:id="rId3" ref="B7"/>
    <hyperlink r:id="rId4" ref="B8"/>
  </hyperlinks>
  <drawing r:id="rId5"/>
  <tableParts count="1"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13"/>
    <col customWidth="1" min="2" max="2" width="15.13"/>
    <col customWidth="1" min="3" max="3" width="15.75"/>
    <col customWidth="1" min="4" max="4" width="68.63"/>
    <col customWidth="1" min="5" max="5" width="20.13"/>
    <col customWidth="1" min="6" max="6" width="16.38"/>
    <col customWidth="1" min="7" max="7" width="11.13"/>
  </cols>
  <sheetData>
    <row r="1">
      <c r="A1" s="29" t="s">
        <v>89</v>
      </c>
      <c r="B1" s="31" t="s">
        <v>90</v>
      </c>
      <c r="C1" s="31" t="s">
        <v>91</v>
      </c>
      <c r="D1" s="31" t="s">
        <v>92</v>
      </c>
      <c r="E1" s="31" t="s">
        <v>93</v>
      </c>
      <c r="F1" s="30" t="s">
        <v>94</v>
      </c>
      <c r="G1" s="30" t="s">
        <v>95</v>
      </c>
      <c r="H1" s="32" t="s">
        <v>96</v>
      </c>
    </row>
    <row r="2">
      <c r="A2" s="70">
        <v>100.0</v>
      </c>
      <c r="B2" s="71" t="s">
        <v>97</v>
      </c>
      <c r="C2" s="72">
        <v>1.1</v>
      </c>
      <c r="D2" s="73"/>
      <c r="E2" s="43" t="s">
        <v>98</v>
      </c>
    </row>
    <row r="3">
      <c r="A3" s="74">
        <v>101.0</v>
      </c>
      <c r="B3" s="75" t="s">
        <v>97</v>
      </c>
      <c r="C3" s="76">
        <v>1.2</v>
      </c>
      <c r="E3" s="39" t="s">
        <v>98</v>
      </c>
    </row>
    <row r="4">
      <c r="A4" s="70">
        <v>102.0</v>
      </c>
      <c r="B4" s="71" t="s">
        <v>99</v>
      </c>
      <c r="C4" s="72">
        <v>2.1</v>
      </c>
      <c r="E4" s="43" t="s">
        <v>98</v>
      </c>
      <c r="F4" s="71"/>
      <c r="G4" s="71"/>
      <c r="H4" s="36" t="s">
        <v>100</v>
      </c>
    </row>
    <row r="5">
      <c r="A5" s="74">
        <v>103.0</v>
      </c>
      <c r="B5" s="75" t="s">
        <v>99</v>
      </c>
      <c r="C5" s="76">
        <v>2.2</v>
      </c>
      <c r="E5" s="39" t="s">
        <v>98</v>
      </c>
      <c r="F5" s="75"/>
      <c r="G5" s="75"/>
      <c r="H5" s="51" t="s">
        <v>101</v>
      </c>
    </row>
    <row r="6">
      <c r="A6" s="70">
        <v>104.0</v>
      </c>
      <c r="B6" s="71" t="s">
        <v>99</v>
      </c>
      <c r="C6" s="72">
        <v>2.3</v>
      </c>
      <c r="E6" s="43" t="s">
        <v>98</v>
      </c>
      <c r="F6" s="71"/>
      <c r="G6" s="71"/>
      <c r="H6" s="36" t="s">
        <v>102</v>
      </c>
    </row>
    <row r="7">
      <c r="A7" s="74">
        <v>105.0</v>
      </c>
      <c r="B7" s="75" t="s">
        <v>103</v>
      </c>
      <c r="C7" s="76">
        <v>3.1</v>
      </c>
      <c r="E7" s="39" t="s">
        <v>98</v>
      </c>
    </row>
    <row r="8">
      <c r="A8" s="70">
        <v>106.0</v>
      </c>
      <c r="B8" s="71" t="s">
        <v>103</v>
      </c>
      <c r="C8" s="72">
        <v>3.2</v>
      </c>
      <c r="E8" s="43" t="s">
        <v>98</v>
      </c>
    </row>
    <row r="9">
      <c r="A9" s="74">
        <v>107.0</v>
      </c>
      <c r="B9" s="75" t="s">
        <v>104</v>
      </c>
      <c r="C9" s="76">
        <v>4.1</v>
      </c>
      <c r="E9" s="39" t="s">
        <v>98</v>
      </c>
      <c r="F9" s="75"/>
      <c r="G9" s="75"/>
      <c r="H9" s="51" t="s">
        <v>105</v>
      </c>
    </row>
    <row r="10">
      <c r="A10" s="70">
        <v>108.0</v>
      </c>
      <c r="B10" s="71" t="s">
        <v>104</v>
      </c>
      <c r="C10" s="72">
        <v>4.2</v>
      </c>
      <c r="E10" s="43" t="s">
        <v>98</v>
      </c>
      <c r="F10" s="71"/>
      <c r="G10" s="71"/>
      <c r="H10" s="36" t="s">
        <v>106</v>
      </c>
    </row>
    <row r="11">
      <c r="A11" s="74">
        <v>109.0</v>
      </c>
      <c r="B11" s="75" t="s">
        <v>107</v>
      </c>
      <c r="C11" s="76">
        <v>5.1</v>
      </c>
      <c r="E11" s="39" t="s">
        <v>98</v>
      </c>
      <c r="F11" s="75"/>
      <c r="G11" s="75"/>
      <c r="H11" s="51" t="s">
        <v>108</v>
      </c>
    </row>
    <row r="12">
      <c r="A12" s="77">
        <v>110.0</v>
      </c>
      <c r="B12" s="78" t="s">
        <v>109</v>
      </c>
      <c r="C12" s="79">
        <v>6.1</v>
      </c>
      <c r="E12" s="80"/>
    </row>
    <row r="13">
      <c r="A13" s="81"/>
      <c r="B13" s="81"/>
      <c r="C13" s="81"/>
      <c r="D13" s="81"/>
      <c r="E13" s="81"/>
    </row>
    <row r="14">
      <c r="A14" s="81"/>
      <c r="B14" s="81"/>
      <c r="C14" s="81"/>
      <c r="D14" s="81"/>
      <c r="E14" s="81"/>
    </row>
    <row r="15">
      <c r="A15" s="81"/>
      <c r="B15" s="81"/>
      <c r="C15" s="81"/>
      <c r="D15" s="81"/>
      <c r="E15" s="81"/>
    </row>
  </sheetData>
  <dataValidations>
    <dataValidation type="list" allowBlank="1" showDropDown="1" showErrorMessage="1" sqref="E2:E12">
      <formula1>"Ops,Tech,Noah"</formula1>
    </dataValidation>
    <dataValidation type="custom" allowBlank="1" showDropDown="1" sqref="A2:A12 C2:C12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8.75"/>
    <col customWidth="1" min="9" max="9" width="44.75"/>
  </cols>
  <sheetData>
    <row r="1">
      <c r="A1" s="29" t="s">
        <v>89</v>
      </c>
      <c r="B1" s="31" t="s">
        <v>90</v>
      </c>
      <c r="C1" s="31" t="s">
        <v>91</v>
      </c>
      <c r="D1" s="31" t="s">
        <v>92</v>
      </c>
      <c r="E1" s="31" t="s">
        <v>93</v>
      </c>
      <c r="F1" s="31" t="s">
        <v>94</v>
      </c>
      <c r="G1" s="30" t="s">
        <v>95</v>
      </c>
      <c r="H1" s="32" t="s">
        <v>96</v>
      </c>
    </row>
    <row r="2">
      <c r="C2" s="82"/>
      <c r="D2" s="73" t="s">
        <v>110</v>
      </c>
      <c r="E2" s="43"/>
      <c r="F2" s="83"/>
      <c r="G2" s="83"/>
    </row>
    <row r="3">
      <c r="C3" s="76"/>
      <c r="D3" s="40" t="s">
        <v>111</v>
      </c>
      <c r="E3" s="39"/>
      <c r="F3" s="84"/>
      <c r="G3" s="84"/>
    </row>
    <row r="4">
      <c r="C4" s="72"/>
      <c r="D4" s="73" t="s">
        <v>112</v>
      </c>
      <c r="E4" s="43"/>
      <c r="F4" s="83"/>
      <c r="G4" s="83"/>
    </row>
    <row r="5">
      <c r="A5" s="37"/>
      <c r="C5" s="76"/>
      <c r="D5" s="40" t="s">
        <v>113</v>
      </c>
      <c r="E5" s="39"/>
      <c r="F5" s="84"/>
      <c r="G5" s="84"/>
    </row>
    <row r="6">
      <c r="C6" s="72"/>
      <c r="D6" s="73" t="s">
        <v>114</v>
      </c>
      <c r="E6" s="43"/>
      <c r="F6" s="83"/>
      <c r="G6" s="83"/>
    </row>
    <row r="7">
      <c r="C7" s="76"/>
      <c r="D7" s="40" t="s">
        <v>115</v>
      </c>
      <c r="E7" s="39"/>
      <c r="F7" s="84"/>
      <c r="G7" s="84"/>
    </row>
    <row r="8">
      <c r="C8" s="72"/>
      <c r="D8" s="73" t="s">
        <v>116</v>
      </c>
      <c r="E8" s="43"/>
      <c r="F8" s="83"/>
      <c r="G8" s="83"/>
    </row>
    <row r="9">
      <c r="A9" s="37"/>
      <c r="C9" s="76"/>
      <c r="E9" s="39"/>
      <c r="F9" s="84"/>
      <c r="G9" s="84"/>
    </row>
    <row r="10">
      <c r="A10" s="42"/>
      <c r="C10" s="72"/>
      <c r="E10" s="43"/>
      <c r="F10" s="83"/>
      <c r="G10" s="83"/>
    </row>
    <row r="11">
      <c r="C11" s="76"/>
      <c r="E11" s="39"/>
      <c r="F11" s="84"/>
      <c r="G11" s="84"/>
    </row>
    <row r="12">
      <c r="C12" s="72"/>
      <c r="E12" s="43"/>
      <c r="F12" s="83"/>
      <c r="G12" s="83"/>
    </row>
    <row r="13">
      <c r="A13" s="37"/>
      <c r="C13" s="76"/>
      <c r="E13" s="39"/>
      <c r="F13" s="84"/>
      <c r="G13" s="84"/>
    </row>
    <row r="14">
      <c r="A14" s="42"/>
      <c r="C14" s="72"/>
      <c r="E14" s="43"/>
      <c r="F14" s="83"/>
      <c r="G14" s="83"/>
    </row>
    <row r="15">
      <c r="C15" s="76"/>
      <c r="E15" s="39"/>
      <c r="F15" s="84"/>
      <c r="G15" s="84"/>
    </row>
    <row r="16">
      <c r="C16" s="72"/>
      <c r="D16" s="73"/>
      <c r="E16" s="43"/>
      <c r="F16" s="83"/>
      <c r="G16" s="83"/>
    </row>
    <row r="17">
      <c r="C17" s="76"/>
      <c r="E17" s="39"/>
      <c r="F17" s="84"/>
      <c r="G17" s="84"/>
    </row>
    <row r="18">
      <c r="A18" s="42"/>
      <c r="C18" s="72"/>
      <c r="E18" s="43"/>
      <c r="F18" s="83"/>
      <c r="G18" s="83"/>
    </row>
    <row r="19">
      <c r="C19" s="76"/>
      <c r="E19" s="39"/>
      <c r="F19" s="84"/>
      <c r="G19" s="84"/>
    </row>
    <row r="20">
      <c r="C20" s="72"/>
      <c r="E20" s="43"/>
      <c r="F20" s="83"/>
      <c r="G20" s="83"/>
    </row>
    <row r="21">
      <c r="A21" s="37"/>
      <c r="C21" s="76"/>
      <c r="E21" s="39"/>
      <c r="F21" s="84"/>
      <c r="G21" s="84"/>
    </row>
    <row r="22">
      <c r="C22" s="72"/>
      <c r="E22" s="43"/>
      <c r="F22" s="83"/>
      <c r="G22" s="83"/>
    </row>
    <row r="23">
      <c r="A23" s="37"/>
      <c r="C23" s="76"/>
      <c r="E23" s="39"/>
      <c r="F23" s="84"/>
      <c r="G23" s="84"/>
    </row>
    <row r="24">
      <c r="C24" s="72"/>
      <c r="E24" s="43"/>
      <c r="F24" s="83"/>
      <c r="G24" s="83"/>
    </row>
    <row r="25">
      <c r="C25" s="76"/>
      <c r="E25" s="39"/>
      <c r="F25" s="84"/>
      <c r="G25" s="84"/>
    </row>
    <row r="26">
      <c r="A26" s="42"/>
      <c r="C26" s="72"/>
      <c r="E26" s="43"/>
      <c r="F26" s="83"/>
      <c r="G26" s="83"/>
    </row>
    <row r="27">
      <c r="C27" s="85"/>
      <c r="E27" s="86"/>
      <c r="F27" s="87"/>
      <c r="G27" s="87"/>
    </row>
  </sheetData>
  <dataValidations>
    <dataValidation type="list" allowBlank="1" showDropDown="1" showErrorMessage="1" sqref="E2:E27">
      <formula1>"Ops,Tech,Noah"</formula1>
    </dataValidation>
    <dataValidation type="custom" allowBlank="1" showDropDown="1" sqref="C2:C27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38"/>
    <col customWidth="1" min="3" max="3" width="22.25"/>
    <col customWidth="1" min="4" max="4" width="12.13"/>
    <col customWidth="1" min="5" max="5" width="34.38"/>
  </cols>
  <sheetData>
    <row r="1">
      <c r="A1" s="88" t="s">
        <v>117</v>
      </c>
      <c r="B1" s="88" t="s">
        <v>118</v>
      </c>
      <c r="C1" s="89"/>
      <c r="D1" s="88" t="s">
        <v>119</v>
      </c>
      <c r="E1" s="89"/>
      <c r="F1" s="88" t="s">
        <v>120</v>
      </c>
    </row>
    <row r="2">
      <c r="A2" s="90" t="s">
        <v>121</v>
      </c>
      <c r="B2" s="90">
        <v>40.0</v>
      </c>
      <c r="C2" s="90" t="s">
        <v>122</v>
      </c>
      <c r="D2" s="90">
        <v>160.0</v>
      </c>
      <c r="E2" s="90" t="s">
        <v>122</v>
      </c>
      <c r="F2" s="90">
        <v>160.0</v>
      </c>
    </row>
    <row r="3">
      <c r="A3" s="90" t="s">
        <v>123</v>
      </c>
      <c r="B3" s="90">
        <v>20.0</v>
      </c>
      <c r="C3" s="90" t="s">
        <v>123</v>
      </c>
      <c r="D3" s="90">
        <v>20.0</v>
      </c>
      <c r="E3" s="90" t="s">
        <v>123</v>
      </c>
      <c r="F3" s="90">
        <v>20.0</v>
      </c>
    </row>
    <row r="4">
      <c r="A4" s="90" t="s">
        <v>124</v>
      </c>
      <c r="B4" s="90">
        <v>40.0</v>
      </c>
      <c r="C4" s="90" t="s">
        <v>124</v>
      </c>
      <c r="D4" s="90">
        <v>80.0</v>
      </c>
      <c r="E4" s="90" t="s">
        <v>124</v>
      </c>
      <c r="F4" s="90">
        <v>120.0</v>
      </c>
    </row>
    <row r="5">
      <c r="A5" s="90" t="s">
        <v>125</v>
      </c>
      <c r="B5" s="90">
        <v>62.5</v>
      </c>
      <c r="C5" s="90" t="s">
        <v>125</v>
      </c>
      <c r="D5" s="90">
        <v>62.5</v>
      </c>
      <c r="E5" s="90" t="s">
        <v>125</v>
      </c>
      <c r="F5" s="90">
        <v>62.5</v>
      </c>
    </row>
    <row r="6">
      <c r="A6" s="90" t="s">
        <v>126</v>
      </c>
      <c r="C6" s="90" t="s">
        <v>127</v>
      </c>
      <c r="D6" s="90">
        <v>40.0</v>
      </c>
      <c r="E6" s="90" t="s">
        <v>126</v>
      </c>
      <c r="F6" s="90">
        <v>60.0</v>
      </c>
    </row>
    <row r="7">
      <c r="C7" s="90" t="s">
        <v>128</v>
      </c>
      <c r="D7" s="90">
        <v>20.0</v>
      </c>
      <c r="E7" s="90" t="s">
        <v>128</v>
      </c>
      <c r="F7" s="90">
        <v>20.0</v>
      </c>
    </row>
    <row r="8">
      <c r="E8" s="90" t="s">
        <v>129</v>
      </c>
      <c r="F8" s="90">
        <v>20.0</v>
      </c>
    </row>
    <row r="9">
      <c r="A9" s="88" t="s">
        <v>130</v>
      </c>
      <c r="B9" s="89">
        <f>sum(B2:B6)</f>
        <v>162.5</v>
      </c>
      <c r="C9" s="89"/>
      <c r="D9" s="89">
        <f>sum(D2:D6)</f>
        <v>362.5</v>
      </c>
      <c r="E9" s="89"/>
      <c r="F9" s="89">
        <f>sum(F2:F6)</f>
        <v>422.5</v>
      </c>
    </row>
    <row r="12">
      <c r="A12" s="90" t="s">
        <v>131</v>
      </c>
      <c r="B12" s="91">
        <v>200.0</v>
      </c>
      <c r="C12" s="92"/>
      <c r="D12" s="91">
        <v>500.0</v>
      </c>
      <c r="E12" s="92"/>
      <c r="F12" s="91">
        <v>600.0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93"/>
    </row>
  </sheetData>
  <drawing r:id="rId1"/>
</worksheet>
</file>