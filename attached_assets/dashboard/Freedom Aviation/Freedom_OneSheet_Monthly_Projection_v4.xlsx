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</sheets>
  <definedNames/>
  <calcPr/>
</workbook>
</file>

<file path=xl/sharedStrings.xml><?xml version="1.0" encoding="utf-8"?>
<sst xmlns="http://schemas.openxmlformats.org/spreadsheetml/2006/main" count="81" uniqueCount="65">
  <si>
    <t>Freedom Aviation — One-Sheet Monthly Projection (v4 with Start Month)</t>
  </si>
  <si>
    <t>Edit assumptions &amp; class costs. Add aircraft in the roster (50 rows ready). Use 'Start Month (1–12)' to add planes later in the year.</t>
  </si>
  <si>
    <t>Assumptions (Edit)</t>
  </si>
  <si>
    <t>Class Cost Settings (Edit)</t>
  </si>
  <si>
    <t>Locations</t>
  </si>
  <si>
    <t>Labor Rate ($/hr)</t>
  </si>
  <si>
    <t>Class</t>
  </si>
  <si>
    <t>Default Price ($/mo)</t>
  </si>
  <si>
    <t>Labor Hours/mo</t>
  </si>
  <si>
    <t>Avionics DB ($/mo)</t>
  </si>
  <si>
    <t>Consumables ($/mo)</t>
  </si>
  <si>
    <t>Fox 9</t>
  </si>
  <si>
    <t>Monthly Projection (respects Start Month)</t>
  </si>
  <si>
    <t>Card Fee (%)</t>
  </si>
  <si>
    <t>Class I (C182)</t>
  </si>
  <si>
    <t>Sky Harbour</t>
  </si>
  <si>
    <t>Month</t>
  </si>
  <si>
    <t>Revenue (Gross)</t>
  </si>
  <si>
    <t>CC Fees</t>
  </si>
  <si>
    <t>Revenue (Net)</t>
  </si>
  <si>
    <t>Total Cost</t>
  </si>
  <si>
    <t>Profit</t>
  </si>
  <si>
    <t>Margin %</t>
  </si>
  <si>
    <t>CFI Allocation ($/mo per a/c)(10hr year)</t>
  </si>
  <si>
    <t>Class II NA (SR22)</t>
  </si>
  <si>
    <t>Jan</t>
  </si>
  <si>
    <t>Cleaning Supplies ($/mo per a/c)</t>
  </si>
  <si>
    <t>Class II Turbo (SR22T)</t>
  </si>
  <si>
    <t>Feb</t>
  </si>
  <si>
    <t>Overhead (Ins+Legal+Software+Admin) ($/mo per a/c)(assume 10ac)</t>
  </si>
  <si>
    <t>Class III (Vision Jet)</t>
  </si>
  <si>
    <t>Mar</t>
  </si>
  <si>
    <t>Hangar — Fox 9 ($/mo)</t>
  </si>
  <si>
    <t>Apr</t>
  </si>
  <si>
    <t>Hangar — Sky Harbour ($/mo)</t>
  </si>
  <si>
    <t>May</t>
  </si>
  <si>
    <t>Tail/Name</t>
  </si>
  <si>
    <t>Location</t>
  </si>
  <si>
    <t>Default Price</t>
  </si>
  <si>
    <t>Custom Price</t>
  </si>
  <si>
    <t>Final Price</t>
  </si>
  <si>
    <t>Hangar Cost</t>
  </si>
  <si>
    <t>Labor Cost</t>
  </si>
  <si>
    <t>CFI</t>
  </si>
  <si>
    <t>Cleaning</t>
  </si>
  <si>
    <t>Avionics DB</t>
  </si>
  <si>
    <t>Consumables</t>
  </si>
  <si>
    <t>Overhead</t>
  </si>
  <si>
    <t>CC Fee ($)</t>
  </si>
  <si>
    <t>Net Revenue</t>
  </si>
  <si>
    <t>Start Month (1-12)</t>
  </si>
  <si>
    <t>Jun</t>
  </si>
  <si>
    <t>N-SR22T-01</t>
  </si>
  <si>
    <t>Jul</t>
  </si>
  <si>
    <t>N-SR22T-02</t>
  </si>
  <si>
    <t>Aug</t>
  </si>
  <si>
    <t>N-SR22-NA</t>
  </si>
  <si>
    <t>Sep</t>
  </si>
  <si>
    <t>N-C182-01</t>
  </si>
  <si>
    <t>Oct</t>
  </si>
  <si>
    <t>N-VJ-01</t>
  </si>
  <si>
    <t>Nov</t>
  </si>
  <si>
    <t>NTurbo3</t>
  </si>
  <si>
    <t>Dec</t>
  </si>
  <si>
    <t>Annual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</si>
</sst>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A1D1E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/>
    </xf>
    <xf borderId="0" fillId="0" fontId="6" numFmtId="0" xfId="0" applyFont="1"/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15.14"/>
    <col customWidth="1" min="3" max="3" width="8.71"/>
    <col customWidth="1" min="4" max="4" width="16.0"/>
    <col customWidth="1" min="5" max="5" width="21.29"/>
    <col customWidth="1" min="6" max="6" width="16.0"/>
    <col customWidth="1" min="7" max="7" width="22.71"/>
    <col customWidth="1" min="8" max="8" width="17.43"/>
    <col customWidth="1" min="9" max="9" width="9.86"/>
    <col customWidth="1" min="10" max="10" width="10.86"/>
    <col customWidth="1" min="11" max="11" width="9.0"/>
    <col customWidth="1" min="12" max="20" width="16.0"/>
    <col customWidth="1" min="21" max="21" width="22.0"/>
    <col customWidth="1" min="22" max="27" width="16.0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D4" s="3" t="s">
        <v>3</v>
      </c>
      <c r="J4" s="3" t="s">
        <v>4</v>
      </c>
    </row>
    <row r="5">
      <c r="A5" s="4" t="s">
        <v>5</v>
      </c>
      <c r="B5" s="5">
        <v>30.0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J5" s="4" t="s">
        <v>11</v>
      </c>
      <c r="U5" s="3" t="s">
        <v>12</v>
      </c>
    </row>
    <row r="6">
      <c r="A6" s="4" t="s">
        <v>13</v>
      </c>
      <c r="B6" s="4">
        <v>3.0</v>
      </c>
      <c r="D6" s="4" t="s">
        <v>14</v>
      </c>
      <c r="E6" s="4">
        <v>2500.0</v>
      </c>
      <c r="F6" s="5">
        <v>5.0</v>
      </c>
      <c r="G6" s="4">
        <v>0.0</v>
      </c>
      <c r="H6" s="4">
        <v>15.0</v>
      </c>
      <c r="J6" s="4" t="s">
        <v>15</v>
      </c>
      <c r="U6" s="7" t="s">
        <v>16</v>
      </c>
      <c r="V6" s="7" t="s">
        <v>17</v>
      </c>
      <c r="W6" s="7" t="s">
        <v>18</v>
      </c>
      <c r="X6" s="7" t="s">
        <v>19</v>
      </c>
      <c r="Y6" s="7" t="s">
        <v>20</v>
      </c>
      <c r="Z6" s="7" t="s">
        <v>21</v>
      </c>
      <c r="AA6" s="7" t="s">
        <v>22</v>
      </c>
    </row>
    <row r="7">
      <c r="A7" s="4" t="s">
        <v>23</v>
      </c>
      <c r="B7" s="4">
        <v>42.0</v>
      </c>
      <c r="D7" s="4" t="s">
        <v>24</v>
      </c>
      <c r="E7" s="4">
        <v>2700.0</v>
      </c>
      <c r="F7" s="5">
        <v>10.0</v>
      </c>
      <c r="G7" s="4">
        <v>0.0</v>
      </c>
      <c r="H7" s="4">
        <v>50.0</v>
      </c>
      <c r="U7" s="8" t="s">
        <v>25</v>
      </c>
      <c r="V7" s="8">
        <f>SUMPRODUCT(--($B$13:$B$62&lt;&gt;""), --($S$13:$S$62&lt;=1), $F$13:$F$62)</f>
        <v>7000</v>
      </c>
      <c r="W7" s="8">
        <f>SUMPRODUCT(--($B$13:$B$62&lt;&gt;""), --($S$13:$S$62&lt;=1), $N$13:$N$62)</f>
        <v>210</v>
      </c>
      <c r="X7" s="8">
        <f>SUMPRODUCT(--($B$13:$B$62&lt;&gt;""), --($S$13:$S$62&lt;=1), $O$13:$O$62)</f>
        <v>6790</v>
      </c>
      <c r="Y7" s="8">
        <f>SUMPRODUCT(--($B$13:$B$62&lt;&gt;""), --($S$13:$S$62&lt;=1), $P$13:$P$62)</f>
        <v>5146</v>
      </c>
      <c r="Z7" s="8">
        <f>SUMPRODUCT(--($B$13:$B$62&lt;&gt;""), --($S$13:$S$62&lt;=1), $Q$13:$Q$62)</f>
        <v>1644</v>
      </c>
      <c r="AA7" s="8">
        <f t="shared" ref="AA7:AA19" si="1">IF(X7&gt;0, Z7/X7*100, 0)</f>
        <v>24.21207658</v>
      </c>
    </row>
    <row r="8">
      <c r="A8" s="4" t="s">
        <v>26</v>
      </c>
      <c r="B8" s="4">
        <v>50.0</v>
      </c>
      <c r="D8" s="4" t="s">
        <v>27</v>
      </c>
      <c r="E8" s="5">
        <v>3500.0</v>
      </c>
      <c r="F8" s="5">
        <v>10.0</v>
      </c>
      <c r="G8" s="4">
        <v>0.0</v>
      </c>
      <c r="H8" s="4">
        <v>175.0</v>
      </c>
      <c r="U8" s="8" t="s">
        <v>28</v>
      </c>
      <c r="V8" s="8">
        <f>SUMPRODUCT(--($B$13:$B$62&lt;&gt;""), --($S$13:$S$62&lt;=2), $F$13:$F$62)</f>
        <v>10500</v>
      </c>
      <c r="W8" s="8">
        <f>SUMPRODUCT(--($B$13:$B$62&lt;&gt;""), --($S$13:$S$62&lt;=2), $N$13:$N$62)</f>
        <v>315</v>
      </c>
      <c r="X8" s="8">
        <f>SUMPRODUCT(--($B$13:$B$62&lt;&gt;""), --($S$13:$S$62&lt;=2), $O$13:$O$62)</f>
        <v>10185</v>
      </c>
      <c r="Y8" s="8">
        <f>SUMPRODUCT(--($B$13:$B$62&lt;&gt;""), --($S$13:$S$62&lt;=2), $P$13:$P$62)</f>
        <v>7619</v>
      </c>
      <c r="Z8" s="8">
        <f>SUMPRODUCT(--($B$13:$B$62&lt;&gt;""), --($S$13:$S$62&lt;=2), $Q$13:$Q$62)</f>
        <v>2566</v>
      </c>
      <c r="AA8" s="8">
        <f t="shared" si="1"/>
        <v>25.19391262</v>
      </c>
    </row>
    <row r="9">
      <c r="A9" s="4" t="s">
        <v>29</v>
      </c>
      <c r="B9" s="4">
        <v>106.0</v>
      </c>
      <c r="D9" s="4" t="s">
        <v>30</v>
      </c>
      <c r="E9" s="5">
        <v>5000.0</v>
      </c>
      <c r="F9" s="4">
        <v>22.0</v>
      </c>
      <c r="G9" s="4">
        <v>0.0</v>
      </c>
      <c r="H9" s="4">
        <v>250.0</v>
      </c>
      <c r="U9" s="8" t="s">
        <v>31</v>
      </c>
      <c r="V9" s="8">
        <f>SUMPRODUCT(--($B$13:$B$62&lt;&gt;""), --($S$13:$S$62&lt;=3), $F$13:$F$62)</f>
        <v>20700</v>
      </c>
      <c r="W9" s="8">
        <f>SUMPRODUCT(--($B$13:$B$62&lt;&gt;""), --($S$13:$S$62&lt;=3), $N$13:$N$62)</f>
        <v>621</v>
      </c>
      <c r="X9" s="8">
        <f>SUMPRODUCT(--($B$13:$B$62&lt;&gt;""), --($S$13:$S$62&lt;=3), $O$13:$O$62)</f>
        <v>20079</v>
      </c>
      <c r="Y9" s="8">
        <f>SUMPRODUCT(--($B$13:$B$62&lt;&gt;""), --($S$13:$S$62&lt;=3), $P$13:$P$62)</f>
        <v>15038</v>
      </c>
      <c r="Z9" s="8">
        <f>SUMPRODUCT(--($B$13:$B$62&lt;&gt;""), --($S$13:$S$62&lt;=3), $Q$13:$Q$62)</f>
        <v>5041</v>
      </c>
      <c r="AA9" s="8">
        <f t="shared" si="1"/>
        <v>25.10583196</v>
      </c>
    </row>
    <row r="10">
      <c r="A10" s="4" t="s">
        <v>32</v>
      </c>
      <c r="B10" s="4">
        <v>1800.0</v>
      </c>
      <c r="U10" s="8" t="s">
        <v>33</v>
      </c>
      <c r="V10" s="8">
        <f>SUMPRODUCT(--($B$13:$B$62&lt;&gt;""), --($S$13:$S$62&lt;=4), $F$13:$F$62)</f>
        <v>20700</v>
      </c>
      <c r="W10" s="8">
        <f>SUMPRODUCT(--($B$13:$B$62&lt;&gt;""), --($S$13:$S$62&lt;=4), $N$13:$N$62)</f>
        <v>621</v>
      </c>
      <c r="X10" s="8">
        <f>SUMPRODUCT(--($B$13:$B$62&lt;&gt;""), --($S$13:$S$62&lt;=4), $O$13:$O$62)</f>
        <v>20079</v>
      </c>
      <c r="Y10" s="8">
        <f>SUMPRODUCT(--($B$13:$B$62&lt;&gt;""), --($S$13:$S$62&lt;=4), $P$13:$P$62)</f>
        <v>15038</v>
      </c>
      <c r="Z10" s="8">
        <f>SUMPRODUCT(--($B$13:$B$62&lt;&gt;""), --($S$13:$S$62&lt;=4), $Q$13:$Q$62)</f>
        <v>5041</v>
      </c>
      <c r="AA10" s="8">
        <f t="shared" si="1"/>
        <v>25.10583196</v>
      </c>
    </row>
    <row r="11">
      <c r="A11" s="4" t="s">
        <v>34</v>
      </c>
      <c r="B11" s="4">
        <v>2000.0</v>
      </c>
      <c r="U11" s="8" t="s">
        <v>35</v>
      </c>
      <c r="V11" s="8">
        <f>SUMPRODUCT(--($B$13:$B$62&lt;&gt;""), --($S$13:$S$62&lt;=5), $F$13:$F$62)</f>
        <v>20700</v>
      </c>
      <c r="W11" s="8">
        <f>SUMPRODUCT(--($B$13:$B$62&lt;&gt;""), --($S$13:$S$62&lt;=5), $N$13:$N$62)</f>
        <v>621</v>
      </c>
      <c r="X11" s="8">
        <f>SUMPRODUCT(--($B$13:$B$62&lt;&gt;""), --($S$13:$S$62&lt;=5), $O$13:$O$62)</f>
        <v>20079</v>
      </c>
      <c r="Y11" s="8">
        <f>SUMPRODUCT(--($B$13:$B$62&lt;&gt;""), --($S$13:$S$62&lt;=5), $P$13:$P$62)</f>
        <v>15038</v>
      </c>
      <c r="Z11" s="8">
        <f>SUMPRODUCT(--($B$13:$B$62&lt;&gt;""), --($S$13:$S$62&lt;=5), $Q$13:$Q$62)</f>
        <v>5041</v>
      </c>
      <c r="AA11" s="8">
        <f t="shared" si="1"/>
        <v>25.10583196</v>
      </c>
    </row>
    <row r="12">
      <c r="A12" s="6" t="s">
        <v>36</v>
      </c>
      <c r="B12" s="6" t="s">
        <v>6</v>
      </c>
      <c r="C12" s="6" t="s">
        <v>37</v>
      </c>
      <c r="D12" s="6" t="s">
        <v>38</v>
      </c>
      <c r="E12" s="6" t="s">
        <v>39</v>
      </c>
      <c r="F12" s="6" t="s">
        <v>40</v>
      </c>
      <c r="G12" s="6" t="s">
        <v>41</v>
      </c>
      <c r="H12" s="6" t="s">
        <v>42</v>
      </c>
      <c r="I12" s="6" t="s">
        <v>43</v>
      </c>
      <c r="J12" s="6" t="s">
        <v>44</v>
      </c>
      <c r="K12" s="6" t="s">
        <v>45</v>
      </c>
      <c r="L12" s="6" t="s">
        <v>46</v>
      </c>
      <c r="M12" s="6" t="s">
        <v>47</v>
      </c>
      <c r="N12" s="6" t="s">
        <v>48</v>
      </c>
      <c r="O12" s="6" t="s">
        <v>49</v>
      </c>
      <c r="P12" s="6" t="s">
        <v>20</v>
      </c>
      <c r="Q12" s="6" t="s">
        <v>21</v>
      </c>
      <c r="R12" s="6" t="s">
        <v>22</v>
      </c>
      <c r="S12" s="6" t="s">
        <v>50</v>
      </c>
      <c r="U12" s="8" t="s">
        <v>51</v>
      </c>
      <c r="V12" s="8">
        <f>SUMPRODUCT(--($B$13:$B$62&lt;&gt;""), --($S$13:$S$62&lt;=6), $F$13:$F$62)</f>
        <v>20700</v>
      </c>
      <c r="W12" s="8">
        <f>SUMPRODUCT(--($B$13:$B$62&lt;&gt;""), --($S$13:$S$62&lt;=6), $N$13:$N$62)</f>
        <v>621</v>
      </c>
      <c r="X12" s="8">
        <f>SUMPRODUCT(--($B$13:$B$62&lt;&gt;""), --($S$13:$S$62&lt;=6), $O$13:$O$62)</f>
        <v>20079</v>
      </c>
      <c r="Y12" s="8">
        <f>SUMPRODUCT(--($B$13:$B$62&lt;&gt;""), --($S$13:$S$62&lt;=6), $P$13:$P$62)</f>
        <v>15038</v>
      </c>
      <c r="Z12" s="8">
        <f>SUMPRODUCT(--($B$13:$B$62&lt;&gt;""), --($S$13:$S$62&lt;=6), $Q$13:$Q$62)</f>
        <v>5041</v>
      </c>
      <c r="AA12" s="8">
        <f t="shared" si="1"/>
        <v>25.10583196</v>
      </c>
    </row>
    <row r="13">
      <c r="A13" s="4" t="s">
        <v>52</v>
      </c>
      <c r="B13" s="4" t="s">
        <v>27</v>
      </c>
      <c r="C13" s="4" t="s">
        <v>15</v>
      </c>
      <c r="D13" s="4">
        <f t="shared" ref="D13:D62" si="2">IFERROR(INDEX($E$6:$E$9, MATCH(B13, $D$6:$D$9, 0)),0)</f>
        <v>3500</v>
      </c>
      <c r="E13" s="4"/>
      <c r="F13" s="4">
        <f t="shared" ref="F13:F62" si="3">IF(E13&gt;0, E13, D13)</f>
        <v>3500</v>
      </c>
      <c r="G13" s="4">
        <f t="shared" ref="G13:G62" si="4">IF(C13="Sky Harbour", $B$11, $B$10)</f>
        <v>2000</v>
      </c>
      <c r="H13" s="4">
        <f t="shared" ref="H13:H62" si="5">$B$5*IFERROR(INDEX($F$6:$F$9, MATCH(B13, $D$6:$D$9, 0)),0)</f>
        <v>300</v>
      </c>
      <c r="I13" s="4">
        <f t="shared" ref="I13:I62" si="6">$B$7</f>
        <v>42</v>
      </c>
      <c r="J13" s="4">
        <f t="shared" ref="J13:J62" si="7">$B$8</f>
        <v>50</v>
      </c>
      <c r="K13" s="4">
        <f t="shared" ref="K13:K62" si="8">IFERROR(INDEX($G$6:$G$9, MATCH(B13, $D$6:$D$9, 0)),0)</f>
        <v>0</v>
      </c>
      <c r="L13" s="4">
        <f t="shared" ref="L13:L62" si="9">IFERROR(INDEX($H$6:$H$9, MATCH(B13, $D$6:$D$9, 0)),0)</f>
        <v>175</v>
      </c>
      <c r="M13" s="4">
        <f t="shared" ref="M13:M62" si="10">$B$9</f>
        <v>106</v>
      </c>
      <c r="N13" s="4">
        <f t="shared" ref="N13:N62" si="11">F13*$B$6/100</f>
        <v>105</v>
      </c>
      <c r="O13" s="4">
        <f t="shared" ref="O13:O62" si="12">F13-N13</f>
        <v>3395</v>
      </c>
      <c r="P13" s="4">
        <f t="shared" ref="P13:P62" si="13">SUM(G13:M13)</f>
        <v>2673</v>
      </c>
      <c r="Q13" s="4">
        <f t="shared" ref="Q13:Q62" si="14">O13-P13</f>
        <v>722</v>
      </c>
      <c r="R13" s="4">
        <f t="shared" ref="R13:R62" si="15">IF(O13&gt;0, Q13/O13*100, 0)</f>
        <v>21.26656848</v>
      </c>
      <c r="S13" s="4">
        <v>1.0</v>
      </c>
      <c r="U13" s="8" t="s">
        <v>53</v>
      </c>
      <c r="V13" s="8">
        <f>SUMPRODUCT(--($B$13:$B$62&lt;&gt;""), --($S$13:$S$62&lt;=7), $F$13:$F$62)</f>
        <v>20700</v>
      </c>
      <c r="W13" s="8">
        <f>SUMPRODUCT(--($B$13:$B$62&lt;&gt;""), --($S$13:$S$62&lt;=7), $N$13:$N$62)</f>
        <v>621</v>
      </c>
      <c r="X13" s="8">
        <f>SUMPRODUCT(--($B$13:$B$62&lt;&gt;""), --($S$13:$S$62&lt;=7), $O$13:$O$62)</f>
        <v>20079</v>
      </c>
      <c r="Y13" s="8">
        <f>SUMPRODUCT(--($B$13:$B$62&lt;&gt;""), --($S$13:$S$62&lt;=7), $P$13:$P$62)</f>
        <v>15038</v>
      </c>
      <c r="Z13" s="8">
        <f>SUMPRODUCT(--($B$13:$B$62&lt;&gt;""), --($S$13:$S$62&lt;=7), $Q$13:$Q$62)</f>
        <v>5041</v>
      </c>
      <c r="AA13" s="8">
        <f t="shared" si="1"/>
        <v>25.10583196</v>
      </c>
    </row>
    <row r="14">
      <c r="A14" s="4" t="s">
        <v>54</v>
      </c>
      <c r="B14" s="4" t="s">
        <v>27</v>
      </c>
      <c r="C14" s="4" t="s">
        <v>11</v>
      </c>
      <c r="D14" s="4">
        <f t="shared" si="2"/>
        <v>3500</v>
      </c>
      <c r="E14" s="4"/>
      <c r="F14" s="4">
        <f t="shared" si="3"/>
        <v>3500</v>
      </c>
      <c r="G14" s="4">
        <f t="shared" si="4"/>
        <v>1800</v>
      </c>
      <c r="H14" s="4">
        <f t="shared" si="5"/>
        <v>300</v>
      </c>
      <c r="I14" s="4">
        <f t="shared" si="6"/>
        <v>42</v>
      </c>
      <c r="J14" s="4">
        <f t="shared" si="7"/>
        <v>50</v>
      </c>
      <c r="K14" s="4">
        <f t="shared" si="8"/>
        <v>0</v>
      </c>
      <c r="L14" s="4">
        <f t="shared" si="9"/>
        <v>175</v>
      </c>
      <c r="M14" s="4">
        <f t="shared" si="10"/>
        <v>106</v>
      </c>
      <c r="N14" s="4">
        <f t="shared" si="11"/>
        <v>105</v>
      </c>
      <c r="O14" s="4">
        <f t="shared" si="12"/>
        <v>3395</v>
      </c>
      <c r="P14" s="4">
        <f t="shared" si="13"/>
        <v>2473</v>
      </c>
      <c r="Q14" s="4">
        <f t="shared" si="14"/>
        <v>922</v>
      </c>
      <c r="R14" s="4">
        <f t="shared" si="15"/>
        <v>27.15758468</v>
      </c>
      <c r="S14" s="4">
        <v>2.0</v>
      </c>
      <c r="U14" s="8" t="s">
        <v>55</v>
      </c>
      <c r="V14" s="8">
        <f>SUMPRODUCT(--($B$13:$B$62&lt;&gt;""), --($S$13:$S$62&lt;=8), $F$13:$F$62)</f>
        <v>20700</v>
      </c>
      <c r="W14" s="8">
        <f>SUMPRODUCT(--($B$13:$B$62&lt;&gt;""), --($S$13:$S$62&lt;=8), $N$13:$N$62)</f>
        <v>621</v>
      </c>
      <c r="X14" s="8">
        <f>SUMPRODUCT(--($B$13:$B$62&lt;&gt;""), --($S$13:$S$62&lt;=8), $O$13:$O$62)</f>
        <v>20079</v>
      </c>
      <c r="Y14" s="8">
        <f>SUMPRODUCT(--($B$13:$B$62&lt;&gt;""), --($S$13:$S$62&lt;=8), $P$13:$P$62)</f>
        <v>15038</v>
      </c>
      <c r="Z14" s="8">
        <f>SUMPRODUCT(--($B$13:$B$62&lt;&gt;""), --($S$13:$S$62&lt;=8), $Q$13:$Q$62)</f>
        <v>5041</v>
      </c>
      <c r="AA14" s="8">
        <f t="shared" si="1"/>
        <v>25.10583196</v>
      </c>
    </row>
    <row r="15">
      <c r="A15" s="4" t="s">
        <v>56</v>
      </c>
      <c r="B15" s="4" t="s">
        <v>24</v>
      </c>
      <c r="C15" s="4" t="s">
        <v>11</v>
      </c>
      <c r="D15" s="4">
        <f t="shared" si="2"/>
        <v>2700</v>
      </c>
      <c r="E15" s="4"/>
      <c r="F15" s="4">
        <f t="shared" si="3"/>
        <v>2700</v>
      </c>
      <c r="G15" s="4">
        <f t="shared" si="4"/>
        <v>1800</v>
      </c>
      <c r="H15" s="4">
        <f t="shared" si="5"/>
        <v>300</v>
      </c>
      <c r="I15" s="4">
        <f t="shared" si="6"/>
        <v>42</v>
      </c>
      <c r="J15" s="4">
        <f t="shared" si="7"/>
        <v>50</v>
      </c>
      <c r="K15" s="4">
        <f t="shared" si="8"/>
        <v>0</v>
      </c>
      <c r="L15" s="4">
        <f t="shared" si="9"/>
        <v>50</v>
      </c>
      <c r="M15" s="4">
        <f t="shared" si="10"/>
        <v>106</v>
      </c>
      <c r="N15" s="4">
        <f t="shared" si="11"/>
        <v>81</v>
      </c>
      <c r="O15" s="4">
        <f t="shared" si="12"/>
        <v>2619</v>
      </c>
      <c r="P15" s="4">
        <f t="shared" si="13"/>
        <v>2348</v>
      </c>
      <c r="Q15" s="4">
        <f t="shared" si="14"/>
        <v>271</v>
      </c>
      <c r="R15" s="4">
        <f t="shared" si="15"/>
        <v>10.34746086</v>
      </c>
      <c r="S15" s="4">
        <v>3.0</v>
      </c>
      <c r="U15" s="8" t="s">
        <v>57</v>
      </c>
      <c r="V15" s="8">
        <f>SUMPRODUCT(--($B$13:$B$62&lt;&gt;""), --($S$13:$S$62&lt;=9), $F$13:$F$62)</f>
        <v>20700</v>
      </c>
      <c r="W15" s="8">
        <f>SUMPRODUCT(--($B$13:$B$62&lt;&gt;""), --($S$13:$S$62&lt;=9), $N$13:$N$62)</f>
        <v>621</v>
      </c>
      <c r="X15" s="8">
        <f>SUMPRODUCT(--($B$13:$B$62&lt;&gt;""), --($S$13:$S$62&lt;=9), $O$13:$O$62)</f>
        <v>20079</v>
      </c>
      <c r="Y15" s="8">
        <f>SUMPRODUCT(--($B$13:$B$62&lt;&gt;""), --($S$13:$S$62&lt;=9), $P$13:$P$62)</f>
        <v>15038</v>
      </c>
      <c r="Z15" s="8">
        <f>SUMPRODUCT(--($B$13:$B$62&lt;&gt;""), --($S$13:$S$62&lt;=9), $Q$13:$Q$62)</f>
        <v>5041</v>
      </c>
      <c r="AA15" s="8">
        <f t="shared" si="1"/>
        <v>25.10583196</v>
      </c>
    </row>
    <row r="16">
      <c r="A16" s="4" t="s">
        <v>58</v>
      </c>
      <c r="B16" s="4" t="s">
        <v>14</v>
      </c>
      <c r="C16" s="4" t="s">
        <v>11</v>
      </c>
      <c r="D16" s="4">
        <f t="shared" si="2"/>
        <v>2500</v>
      </c>
      <c r="E16" s="4"/>
      <c r="F16" s="4">
        <f t="shared" si="3"/>
        <v>2500</v>
      </c>
      <c r="G16" s="4">
        <f t="shared" si="4"/>
        <v>1800</v>
      </c>
      <c r="H16" s="4">
        <f t="shared" si="5"/>
        <v>150</v>
      </c>
      <c r="I16" s="4">
        <f t="shared" si="6"/>
        <v>42</v>
      </c>
      <c r="J16" s="4">
        <f t="shared" si="7"/>
        <v>50</v>
      </c>
      <c r="K16" s="4">
        <f t="shared" si="8"/>
        <v>0</v>
      </c>
      <c r="L16" s="4">
        <f t="shared" si="9"/>
        <v>15</v>
      </c>
      <c r="M16" s="4">
        <f t="shared" si="10"/>
        <v>106</v>
      </c>
      <c r="N16" s="4">
        <f t="shared" si="11"/>
        <v>75</v>
      </c>
      <c r="O16" s="4">
        <f t="shared" si="12"/>
        <v>2425</v>
      </c>
      <c r="P16" s="4">
        <f t="shared" si="13"/>
        <v>2163</v>
      </c>
      <c r="Q16" s="4">
        <f t="shared" si="14"/>
        <v>262</v>
      </c>
      <c r="R16" s="4">
        <f t="shared" si="15"/>
        <v>10.80412371</v>
      </c>
      <c r="S16" s="4">
        <v>3.0</v>
      </c>
      <c r="U16" s="8" t="s">
        <v>59</v>
      </c>
      <c r="V16" s="8">
        <f>SUMPRODUCT(--($B$13:$B$62&lt;&gt;""), --($S$13:$S$62&lt;=10), $F$13:$F$62)</f>
        <v>20700</v>
      </c>
      <c r="W16" s="8">
        <f>SUMPRODUCT(--($B$13:$B$62&lt;&gt;""), --($S$13:$S$62&lt;=10), $N$13:$N$62)</f>
        <v>621</v>
      </c>
      <c r="X16" s="8">
        <f>SUMPRODUCT(--($B$13:$B$62&lt;&gt;""), --($S$13:$S$62&lt;=10), $O$13:$O$62)</f>
        <v>20079</v>
      </c>
      <c r="Y16" s="8">
        <f>SUMPRODUCT(--($B$13:$B$62&lt;&gt;""), --($S$13:$S$62&lt;=10), $P$13:$P$62)</f>
        <v>15038</v>
      </c>
      <c r="Z16" s="8">
        <f>SUMPRODUCT(--($B$13:$B$62&lt;&gt;""), --($S$13:$S$62&lt;=10), $Q$13:$Q$62)</f>
        <v>5041</v>
      </c>
      <c r="AA16" s="8">
        <f t="shared" si="1"/>
        <v>25.10583196</v>
      </c>
    </row>
    <row r="17">
      <c r="A17" s="4" t="s">
        <v>60</v>
      </c>
      <c r="B17" s="4" t="s">
        <v>30</v>
      </c>
      <c r="C17" s="4" t="s">
        <v>11</v>
      </c>
      <c r="D17" s="4">
        <f t="shared" si="2"/>
        <v>5000</v>
      </c>
      <c r="E17" s="4"/>
      <c r="F17" s="4">
        <f t="shared" si="3"/>
        <v>5000</v>
      </c>
      <c r="G17" s="4">
        <f t="shared" si="4"/>
        <v>1800</v>
      </c>
      <c r="H17" s="4">
        <f t="shared" si="5"/>
        <v>660</v>
      </c>
      <c r="I17" s="4">
        <f t="shared" si="6"/>
        <v>42</v>
      </c>
      <c r="J17" s="4">
        <f t="shared" si="7"/>
        <v>50</v>
      </c>
      <c r="K17" s="4">
        <f t="shared" si="8"/>
        <v>0</v>
      </c>
      <c r="L17" s="4">
        <f t="shared" si="9"/>
        <v>250</v>
      </c>
      <c r="M17" s="4">
        <f t="shared" si="10"/>
        <v>106</v>
      </c>
      <c r="N17" s="4">
        <f t="shared" si="11"/>
        <v>150</v>
      </c>
      <c r="O17" s="4">
        <f t="shared" si="12"/>
        <v>4850</v>
      </c>
      <c r="P17" s="4">
        <f t="shared" si="13"/>
        <v>2908</v>
      </c>
      <c r="Q17" s="4">
        <f t="shared" si="14"/>
        <v>1942</v>
      </c>
      <c r="R17" s="4">
        <f t="shared" si="15"/>
        <v>40.04123711</v>
      </c>
      <c r="S17" s="4">
        <v>3.0</v>
      </c>
      <c r="U17" s="8" t="s">
        <v>61</v>
      </c>
      <c r="V17" s="8">
        <f>SUMPRODUCT(--($B$13:$B$62&lt;&gt;""), --($S$13:$S$62&lt;=11), $F$13:$F$62)</f>
        <v>20700</v>
      </c>
      <c r="W17" s="8">
        <f>SUMPRODUCT(--($B$13:$B$62&lt;&gt;""), --($S$13:$S$62&lt;=11), $N$13:$N$62)</f>
        <v>621</v>
      </c>
      <c r="X17" s="8">
        <f>SUMPRODUCT(--($B$13:$B$62&lt;&gt;""), --($S$13:$S$62&lt;=11), $O$13:$O$62)</f>
        <v>20079</v>
      </c>
      <c r="Y17" s="8">
        <f>SUMPRODUCT(--($B$13:$B$62&lt;&gt;""), --($S$13:$S$62&lt;=11), $P$13:$P$62)</f>
        <v>15038</v>
      </c>
      <c r="Z17" s="8">
        <f>SUMPRODUCT(--($B$13:$B$62&lt;&gt;""), --($S$13:$S$62&lt;=11), $Q$13:$Q$62)</f>
        <v>5041</v>
      </c>
      <c r="AA17" s="8">
        <f t="shared" si="1"/>
        <v>25.10583196</v>
      </c>
    </row>
    <row r="18">
      <c r="A18" s="5" t="s">
        <v>62</v>
      </c>
      <c r="B18" s="4" t="s">
        <v>27</v>
      </c>
      <c r="C18" s="4" t="s">
        <v>11</v>
      </c>
      <c r="D18" s="4">
        <f t="shared" si="2"/>
        <v>3500</v>
      </c>
      <c r="E18" s="4"/>
      <c r="F18" s="4">
        <f t="shared" si="3"/>
        <v>3500</v>
      </c>
      <c r="G18" s="4">
        <f t="shared" si="4"/>
        <v>1800</v>
      </c>
      <c r="H18" s="4">
        <f t="shared" si="5"/>
        <v>300</v>
      </c>
      <c r="I18" s="4">
        <f t="shared" si="6"/>
        <v>42</v>
      </c>
      <c r="J18" s="4">
        <f t="shared" si="7"/>
        <v>50</v>
      </c>
      <c r="K18" s="4">
        <f t="shared" si="8"/>
        <v>0</v>
      </c>
      <c r="L18" s="4">
        <f t="shared" si="9"/>
        <v>175</v>
      </c>
      <c r="M18" s="4">
        <f t="shared" si="10"/>
        <v>106</v>
      </c>
      <c r="N18" s="4">
        <f t="shared" si="11"/>
        <v>105</v>
      </c>
      <c r="O18" s="4">
        <f t="shared" si="12"/>
        <v>3395</v>
      </c>
      <c r="P18" s="4">
        <f t="shared" si="13"/>
        <v>2473</v>
      </c>
      <c r="Q18" s="4">
        <f t="shared" si="14"/>
        <v>922</v>
      </c>
      <c r="R18" s="4">
        <f t="shared" si="15"/>
        <v>27.15758468</v>
      </c>
      <c r="S18" s="4">
        <v>1.0</v>
      </c>
      <c r="U18" s="8" t="s">
        <v>63</v>
      </c>
      <c r="V18" s="8">
        <f>SUMPRODUCT(--($B$13:$B$62&lt;&gt;""), --($S$13:$S$62&lt;=12), $F$13:$F$62)</f>
        <v>20700</v>
      </c>
      <c r="W18" s="8">
        <f>SUMPRODUCT(--($B$13:$B$62&lt;&gt;""), --($S$13:$S$62&lt;=12), $N$13:$N$62)</f>
        <v>621</v>
      </c>
      <c r="X18" s="8">
        <f>SUMPRODUCT(--($B$13:$B$62&lt;&gt;""), --($S$13:$S$62&lt;=12), $O$13:$O$62)</f>
        <v>20079</v>
      </c>
      <c r="Y18" s="8">
        <f>SUMPRODUCT(--($B$13:$B$62&lt;&gt;""), --($S$13:$S$62&lt;=12), $P$13:$P$62)</f>
        <v>15038</v>
      </c>
      <c r="Z18" s="8">
        <f>SUMPRODUCT(--($B$13:$B$62&lt;&gt;""), --($S$13:$S$62&lt;=12), $Q$13:$Q$62)</f>
        <v>5041</v>
      </c>
      <c r="AA18" s="8">
        <f t="shared" si="1"/>
        <v>25.10583196</v>
      </c>
    </row>
    <row r="19">
      <c r="A19" s="4"/>
      <c r="B19" s="4"/>
      <c r="C19" s="4"/>
      <c r="D19" s="4">
        <f t="shared" si="2"/>
        <v>0</v>
      </c>
      <c r="E19" s="4"/>
      <c r="F19" s="4">
        <f t="shared" si="3"/>
        <v>0</v>
      </c>
      <c r="G19" s="4">
        <f t="shared" si="4"/>
        <v>1800</v>
      </c>
      <c r="H19" s="4">
        <f t="shared" si="5"/>
        <v>0</v>
      </c>
      <c r="I19" s="4">
        <f t="shared" si="6"/>
        <v>42</v>
      </c>
      <c r="J19" s="4">
        <f t="shared" si="7"/>
        <v>50</v>
      </c>
      <c r="K19" s="4">
        <f t="shared" si="8"/>
        <v>0</v>
      </c>
      <c r="L19" s="4">
        <f t="shared" si="9"/>
        <v>0</v>
      </c>
      <c r="M19" s="4">
        <f t="shared" si="10"/>
        <v>106</v>
      </c>
      <c r="N19" s="4">
        <f t="shared" si="11"/>
        <v>0</v>
      </c>
      <c r="O19" s="4">
        <f t="shared" si="12"/>
        <v>0</v>
      </c>
      <c r="P19" s="4">
        <f t="shared" si="13"/>
        <v>1998</v>
      </c>
      <c r="Q19" s="4">
        <f t="shared" si="14"/>
        <v>-1998</v>
      </c>
      <c r="R19" s="4">
        <f t="shared" si="15"/>
        <v>0</v>
      </c>
      <c r="S19" s="4"/>
      <c r="U19" s="3" t="s">
        <v>64</v>
      </c>
      <c r="V19" s="8">
        <f t="shared" ref="V19:Z19" si="16">SUM(V7:V18)</f>
        <v>224500</v>
      </c>
      <c r="W19" s="8">
        <f t="shared" si="16"/>
        <v>6735</v>
      </c>
      <c r="X19" s="8">
        <f t="shared" si="16"/>
        <v>217765</v>
      </c>
      <c r="Y19" s="8">
        <f t="shared" si="16"/>
        <v>163145</v>
      </c>
      <c r="Z19" s="8">
        <f t="shared" si="16"/>
        <v>54620</v>
      </c>
      <c r="AA19" s="8">
        <f t="shared" si="1"/>
        <v>25.0820839</v>
      </c>
    </row>
    <row r="20">
      <c r="A20" s="4"/>
      <c r="B20" s="4"/>
      <c r="C20" s="4"/>
      <c r="D20" s="4">
        <f t="shared" si="2"/>
        <v>0</v>
      </c>
      <c r="E20" s="4"/>
      <c r="F20" s="4">
        <f t="shared" si="3"/>
        <v>0</v>
      </c>
      <c r="G20" s="4">
        <f t="shared" si="4"/>
        <v>1800</v>
      </c>
      <c r="H20" s="4">
        <f t="shared" si="5"/>
        <v>0</v>
      </c>
      <c r="I20" s="4">
        <f t="shared" si="6"/>
        <v>42</v>
      </c>
      <c r="J20" s="4">
        <f t="shared" si="7"/>
        <v>50</v>
      </c>
      <c r="K20" s="4">
        <f t="shared" si="8"/>
        <v>0</v>
      </c>
      <c r="L20" s="4">
        <f t="shared" si="9"/>
        <v>0</v>
      </c>
      <c r="M20" s="4">
        <f t="shared" si="10"/>
        <v>106</v>
      </c>
      <c r="N20" s="4">
        <f t="shared" si="11"/>
        <v>0</v>
      </c>
      <c r="O20" s="4">
        <f t="shared" si="12"/>
        <v>0</v>
      </c>
      <c r="P20" s="4">
        <f t="shared" si="13"/>
        <v>1998</v>
      </c>
      <c r="Q20" s="4">
        <f t="shared" si="14"/>
        <v>-1998</v>
      </c>
      <c r="R20" s="4">
        <f t="shared" si="15"/>
        <v>0</v>
      </c>
      <c r="S20" s="4"/>
    </row>
    <row r="21" ht="15.75" customHeight="1">
      <c r="A21" s="4"/>
      <c r="B21" s="4"/>
      <c r="C21" s="4"/>
      <c r="D21" s="4">
        <f t="shared" si="2"/>
        <v>0</v>
      </c>
      <c r="E21" s="4"/>
      <c r="F21" s="4">
        <f t="shared" si="3"/>
        <v>0</v>
      </c>
      <c r="G21" s="4">
        <f t="shared" si="4"/>
        <v>1800</v>
      </c>
      <c r="H21" s="4">
        <f t="shared" si="5"/>
        <v>0</v>
      </c>
      <c r="I21" s="4">
        <f t="shared" si="6"/>
        <v>42</v>
      </c>
      <c r="J21" s="4">
        <f t="shared" si="7"/>
        <v>50</v>
      </c>
      <c r="K21" s="4">
        <f t="shared" si="8"/>
        <v>0</v>
      </c>
      <c r="L21" s="4">
        <f t="shared" si="9"/>
        <v>0</v>
      </c>
      <c r="M21" s="4">
        <f t="shared" si="10"/>
        <v>106</v>
      </c>
      <c r="N21" s="4">
        <f t="shared" si="11"/>
        <v>0</v>
      </c>
      <c r="O21" s="4">
        <f t="shared" si="12"/>
        <v>0</v>
      </c>
      <c r="P21" s="4">
        <f t="shared" si="13"/>
        <v>1998</v>
      </c>
      <c r="Q21" s="4">
        <f t="shared" si="14"/>
        <v>-1998</v>
      </c>
      <c r="R21" s="4">
        <f t="shared" si="15"/>
        <v>0</v>
      </c>
      <c r="S21" s="4"/>
    </row>
    <row r="22" ht="15.75" customHeight="1">
      <c r="A22" s="4"/>
      <c r="B22" s="4"/>
      <c r="C22" s="4"/>
      <c r="D22" s="4">
        <f t="shared" si="2"/>
        <v>0</v>
      </c>
      <c r="E22" s="4"/>
      <c r="F22" s="4">
        <f t="shared" si="3"/>
        <v>0</v>
      </c>
      <c r="G22" s="4">
        <f t="shared" si="4"/>
        <v>1800</v>
      </c>
      <c r="H22" s="4">
        <f t="shared" si="5"/>
        <v>0</v>
      </c>
      <c r="I22" s="4">
        <f t="shared" si="6"/>
        <v>42</v>
      </c>
      <c r="J22" s="4">
        <f t="shared" si="7"/>
        <v>50</v>
      </c>
      <c r="K22" s="4">
        <f t="shared" si="8"/>
        <v>0</v>
      </c>
      <c r="L22" s="4">
        <f t="shared" si="9"/>
        <v>0</v>
      </c>
      <c r="M22" s="4">
        <f t="shared" si="10"/>
        <v>106</v>
      </c>
      <c r="N22" s="4">
        <f t="shared" si="11"/>
        <v>0</v>
      </c>
      <c r="O22" s="4">
        <f t="shared" si="12"/>
        <v>0</v>
      </c>
      <c r="P22" s="4">
        <f t="shared" si="13"/>
        <v>1998</v>
      </c>
      <c r="Q22" s="4">
        <f t="shared" si="14"/>
        <v>-1998</v>
      </c>
      <c r="R22" s="4">
        <f t="shared" si="15"/>
        <v>0</v>
      </c>
      <c r="S22" s="4"/>
    </row>
    <row r="23" ht="15.75" customHeight="1">
      <c r="A23" s="4"/>
      <c r="B23" s="4"/>
      <c r="C23" s="4"/>
      <c r="D23" s="4">
        <f t="shared" si="2"/>
        <v>0</v>
      </c>
      <c r="E23" s="4"/>
      <c r="F23" s="4">
        <f t="shared" si="3"/>
        <v>0</v>
      </c>
      <c r="G23" s="4">
        <f t="shared" si="4"/>
        <v>1800</v>
      </c>
      <c r="H23" s="4">
        <f t="shared" si="5"/>
        <v>0</v>
      </c>
      <c r="I23" s="4">
        <f t="shared" si="6"/>
        <v>42</v>
      </c>
      <c r="J23" s="4">
        <f t="shared" si="7"/>
        <v>50</v>
      </c>
      <c r="K23" s="4">
        <f t="shared" si="8"/>
        <v>0</v>
      </c>
      <c r="L23" s="4">
        <f t="shared" si="9"/>
        <v>0</v>
      </c>
      <c r="M23" s="4">
        <f t="shared" si="10"/>
        <v>106</v>
      </c>
      <c r="N23" s="4">
        <f t="shared" si="11"/>
        <v>0</v>
      </c>
      <c r="O23" s="4">
        <f t="shared" si="12"/>
        <v>0</v>
      </c>
      <c r="P23" s="4">
        <f t="shared" si="13"/>
        <v>1998</v>
      </c>
      <c r="Q23" s="4">
        <f t="shared" si="14"/>
        <v>-1998</v>
      </c>
      <c r="R23" s="4">
        <f t="shared" si="15"/>
        <v>0</v>
      </c>
      <c r="S23" s="4"/>
    </row>
    <row r="24" ht="15.75" customHeight="1">
      <c r="A24" s="4"/>
      <c r="B24" s="4"/>
      <c r="C24" s="4"/>
      <c r="D24" s="4">
        <f t="shared" si="2"/>
        <v>0</v>
      </c>
      <c r="E24" s="4"/>
      <c r="F24" s="4">
        <f t="shared" si="3"/>
        <v>0</v>
      </c>
      <c r="G24" s="4">
        <f t="shared" si="4"/>
        <v>1800</v>
      </c>
      <c r="H24" s="4">
        <f t="shared" si="5"/>
        <v>0</v>
      </c>
      <c r="I24" s="4">
        <f t="shared" si="6"/>
        <v>42</v>
      </c>
      <c r="J24" s="4">
        <f t="shared" si="7"/>
        <v>50</v>
      </c>
      <c r="K24" s="4">
        <f t="shared" si="8"/>
        <v>0</v>
      </c>
      <c r="L24" s="4">
        <f t="shared" si="9"/>
        <v>0</v>
      </c>
      <c r="M24" s="4">
        <f t="shared" si="10"/>
        <v>106</v>
      </c>
      <c r="N24" s="4">
        <f t="shared" si="11"/>
        <v>0</v>
      </c>
      <c r="O24" s="4">
        <f t="shared" si="12"/>
        <v>0</v>
      </c>
      <c r="P24" s="4">
        <f t="shared" si="13"/>
        <v>1998</v>
      </c>
      <c r="Q24" s="4">
        <f t="shared" si="14"/>
        <v>-1998</v>
      </c>
      <c r="R24" s="4">
        <f t="shared" si="15"/>
        <v>0</v>
      </c>
      <c r="S24" s="4"/>
    </row>
    <row r="25" ht="15.75" customHeight="1">
      <c r="A25" s="4"/>
      <c r="B25" s="4"/>
      <c r="C25" s="4"/>
      <c r="D25" s="4">
        <f t="shared" si="2"/>
        <v>0</v>
      </c>
      <c r="E25" s="4"/>
      <c r="F25" s="4">
        <f t="shared" si="3"/>
        <v>0</v>
      </c>
      <c r="G25" s="4">
        <f t="shared" si="4"/>
        <v>1800</v>
      </c>
      <c r="H25" s="4">
        <f t="shared" si="5"/>
        <v>0</v>
      </c>
      <c r="I25" s="4">
        <f t="shared" si="6"/>
        <v>42</v>
      </c>
      <c r="J25" s="4">
        <f t="shared" si="7"/>
        <v>50</v>
      </c>
      <c r="K25" s="4">
        <f t="shared" si="8"/>
        <v>0</v>
      </c>
      <c r="L25" s="4">
        <f t="shared" si="9"/>
        <v>0</v>
      </c>
      <c r="M25" s="4">
        <f t="shared" si="10"/>
        <v>106</v>
      </c>
      <c r="N25" s="4">
        <f t="shared" si="11"/>
        <v>0</v>
      </c>
      <c r="O25" s="4">
        <f t="shared" si="12"/>
        <v>0</v>
      </c>
      <c r="P25" s="4">
        <f t="shared" si="13"/>
        <v>1998</v>
      </c>
      <c r="Q25" s="4">
        <f t="shared" si="14"/>
        <v>-1998</v>
      </c>
      <c r="R25" s="4">
        <f t="shared" si="15"/>
        <v>0</v>
      </c>
      <c r="S25" s="4"/>
    </row>
    <row r="26" ht="15.75" customHeight="1">
      <c r="A26" s="4"/>
      <c r="B26" s="4"/>
      <c r="C26" s="4"/>
      <c r="D26" s="4">
        <f t="shared" si="2"/>
        <v>0</v>
      </c>
      <c r="E26" s="4"/>
      <c r="F26" s="4">
        <f t="shared" si="3"/>
        <v>0</v>
      </c>
      <c r="G26" s="4">
        <f t="shared" si="4"/>
        <v>1800</v>
      </c>
      <c r="H26" s="4">
        <f t="shared" si="5"/>
        <v>0</v>
      </c>
      <c r="I26" s="4">
        <f t="shared" si="6"/>
        <v>42</v>
      </c>
      <c r="J26" s="4">
        <f t="shared" si="7"/>
        <v>50</v>
      </c>
      <c r="K26" s="4">
        <f t="shared" si="8"/>
        <v>0</v>
      </c>
      <c r="L26" s="4">
        <f t="shared" si="9"/>
        <v>0</v>
      </c>
      <c r="M26" s="4">
        <f t="shared" si="10"/>
        <v>106</v>
      </c>
      <c r="N26" s="4">
        <f t="shared" si="11"/>
        <v>0</v>
      </c>
      <c r="O26" s="4">
        <f t="shared" si="12"/>
        <v>0</v>
      </c>
      <c r="P26" s="4">
        <f t="shared" si="13"/>
        <v>1998</v>
      </c>
      <c r="Q26" s="4">
        <f t="shared" si="14"/>
        <v>-1998</v>
      </c>
      <c r="R26" s="4">
        <f t="shared" si="15"/>
        <v>0</v>
      </c>
      <c r="S26" s="4"/>
    </row>
    <row r="27" ht="15.75" customHeight="1">
      <c r="A27" s="4"/>
      <c r="B27" s="4"/>
      <c r="C27" s="4"/>
      <c r="D27" s="4">
        <f t="shared" si="2"/>
        <v>0</v>
      </c>
      <c r="E27" s="4"/>
      <c r="F27" s="4">
        <f t="shared" si="3"/>
        <v>0</v>
      </c>
      <c r="G27" s="4">
        <f t="shared" si="4"/>
        <v>1800</v>
      </c>
      <c r="H27" s="4">
        <f t="shared" si="5"/>
        <v>0</v>
      </c>
      <c r="I27" s="4">
        <f t="shared" si="6"/>
        <v>42</v>
      </c>
      <c r="J27" s="4">
        <f t="shared" si="7"/>
        <v>50</v>
      </c>
      <c r="K27" s="4">
        <f t="shared" si="8"/>
        <v>0</v>
      </c>
      <c r="L27" s="4">
        <f t="shared" si="9"/>
        <v>0</v>
      </c>
      <c r="M27" s="4">
        <f t="shared" si="10"/>
        <v>106</v>
      </c>
      <c r="N27" s="4">
        <f t="shared" si="11"/>
        <v>0</v>
      </c>
      <c r="O27" s="4">
        <f t="shared" si="12"/>
        <v>0</v>
      </c>
      <c r="P27" s="4">
        <f t="shared" si="13"/>
        <v>1998</v>
      </c>
      <c r="Q27" s="4">
        <f t="shared" si="14"/>
        <v>-1998</v>
      </c>
      <c r="R27" s="4">
        <f t="shared" si="15"/>
        <v>0</v>
      </c>
      <c r="S27" s="4"/>
    </row>
    <row r="28" ht="15.75" customHeight="1">
      <c r="A28" s="4"/>
      <c r="B28" s="4"/>
      <c r="C28" s="4"/>
      <c r="D28" s="4">
        <f t="shared" si="2"/>
        <v>0</v>
      </c>
      <c r="E28" s="4"/>
      <c r="F28" s="4">
        <f t="shared" si="3"/>
        <v>0</v>
      </c>
      <c r="G28" s="4">
        <f t="shared" si="4"/>
        <v>1800</v>
      </c>
      <c r="H28" s="4">
        <f t="shared" si="5"/>
        <v>0</v>
      </c>
      <c r="I28" s="4">
        <f t="shared" si="6"/>
        <v>42</v>
      </c>
      <c r="J28" s="4">
        <f t="shared" si="7"/>
        <v>50</v>
      </c>
      <c r="K28" s="4">
        <f t="shared" si="8"/>
        <v>0</v>
      </c>
      <c r="L28" s="4">
        <f t="shared" si="9"/>
        <v>0</v>
      </c>
      <c r="M28" s="4">
        <f t="shared" si="10"/>
        <v>106</v>
      </c>
      <c r="N28" s="4">
        <f t="shared" si="11"/>
        <v>0</v>
      </c>
      <c r="O28" s="4">
        <f t="shared" si="12"/>
        <v>0</v>
      </c>
      <c r="P28" s="4">
        <f t="shared" si="13"/>
        <v>1998</v>
      </c>
      <c r="Q28" s="4">
        <f t="shared" si="14"/>
        <v>-1998</v>
      </c>
      <c r="R28" s="4">
        <f t="shared" si="15"/>
        <v>0</v>
      </c>
      <c r="S28" s="4"/>
    </row>
    <row r="29" ht="15.75" customHeight="1">
      <c r="A29" s="4"/>
      <c r="B29" s="4"/>
      <c r="C29" s="4"/>
      <c r="D29" s="4">
        <f t="shared" si="2"/>
        <v>0</v>
      </c>
      <c r="E29" s="4"/>
      <c r="F29" s="4">
        <f t="shared" si="3"/>
        <v>0</v>
      </c>
      <c r="G29" s="4">
        <f t="shared" si="4"/>
        <v>1800</v>
      </c>
      <c r="H29" s="4">
        <f t="shared" si="5"/>
        <v>0</v>
      </c>
      <c r="I29" s="4">
        <f t="shared" si="6"/>
        <v>42</v>
      </c>
      <c r="J29" s="4">
        <f t="shared" si="7"/>
        <v>50</v>
      </c>
      <c r="K29" s="4">
        <f t="shared" si="8"/>
        <v>0</v>
      </c>
      <c r="L29" s="4">
        <f t="shared" si="9"/>
        <v>0</v>
      </c>
      <c r="M29" s="4">
        <f t="shared" si="10"/>
        <v>106</v>
      </c>
      <c r="N29" s="4">
        <f t="shared" si="11"/>
        <v>0</v>
      </c>
      <c r="O29" s="4">
        <f t="shared" si="12"/>
        <v>0</v>
      </c>
      <c r="P29" s="4">
        <f t="shared" si="13"/>
        <v>1998</v>
      </c>
      <c r="Q29" s="4">
        <f t="shared" si="14"/>
        <v>-1998</v>
      </c>
      <c r="R29" s="4">
        <f t="shared" si="15"/>
        <v>0</v>
      </c>
      <c r="S29" s="4"/>
    </row>
    <row r="30" ht="15.75" customHeight="1">
      <c r="A30" s="4"/>
      <c r="B30" s="4"/>
      <c r="C30" s="4"/>
      <c r="D30" s="4">
        <f t="shared" si="2"/>
        <v>0</v>
      </c>
      <c r="E30" s="4"/>
      <c r="F30" s="4">
        <f t="shared" si="3"/>
        <v>0</v>
      </c>
      <c r="G30" s="4">
        <f t="shared" si="4"/>
        <v>1800</v>
      </c>
      <c r="H30" s="4">
        <f t="shared" si="5"/>
        <v>0</v>
      </c>
      <c r="I30" s="4">
        <f t="shared" si="6"/>
        <v>42</v>
      </c>
      <c r="J30" s="4">
        <f t="shared" si="7"/>
        <v>50</v>
      </c>
      <c r="K30" s="4">
        <f t="shared" si="8"/>
        <v>0</v>
      </c>
      <c r="L30" s="4">
        <f t="shared" si="9"/>
        <v>0</v>
      </c>
      <c r="M30" s="4">
        <f t="shared" si="10"/>
        <v>106</v>
      </c>
      <c r="N30" s="4">
        <f t="shared" si="11"/>
        <v>0</v>
      </c>
      <c r="O30" s="4">
        <f t="shared" si="12"/>
        <v>0</v>
      </c>
      <c r="P30" s="4">
        <f t="shared" si="13"/>
        <v>1998</v>
      </c>
      <c r="Q30" s="4">
        <f t="shared" si="14"/>
        <v>-1998</v>
      </c>
      <c r="R30" s="4">
        <f t="shared" si="15"/>
        <v>0</v>
      </c>
      <c r="S30" s="4"/>
    </row>
    <row r="31" ht="15.75" customHeight="1">
      <c r="A31" s="4"/>
      <c r="B31" s="4"/>
      <c r="C31" s="4"/>
      <c r="D31" s="4">
        <f t="shared" si="2"/>
        <v>0</v>
      </c>
      <c r="E31" s="4"/>
      <c r="F31" s="4">
        <f t="shared" si="3"/>
        <v>0</v>
      </c>
      <c r="G31" s="4">
        <f t="shared" si="4"/>
        <v>1800</v>
      </c>
      <c r="H31" s="4">
        <f t="shared" si="5"/>
        <v>0</v>
      </c>
      <c r="I31" s="4">
        <f t="shared" si="6"/>
        <v>42</v>
      </c>
      <c r="J31" s="4">
        <f t="shared" si="7"/>
        <v>50</v>
      </c>
      <c r="K31" s="4">
        <f t="shared" si="8"/>
        <v>0</v>
      </c>
      <c r="L31" s="4">
        <f t="shared" si="9"/>
        <v>0</v>
      </c>
      <c r="M31" s="4">
        <f t="shared" si="10"/>
        <v>106</v>
      </c>
      <c r="N31" s="4">
        <f t="shared" si="11"/>
        <v>0</v>
      </c>
      <c r="O31" s="4">
        <f t="shared" si="12"/>
        <v>0</v>
      </c>
      <c r="P31" s="4">
        <f t="shared" si="13"/>
        <v>1998</v>
      </c>
      <c r="Q31" s="4">
        <f t="shared" si="14"/>
        <v>-1998</v>
      </c>
      <c r="R31" s="4">
        <f t="shared" si="15"/>
        <v>0</v>
      </c>
      <c r="S31" s="4"/>
    </row>
    <row r="32" ht="15.75" customHeight="1">
      <c r="A32" s="4"/>
      <c r="B32" s="4"/>
      <c r="C32" s="4"/>
      <c r="D32" s="4">
        <f t="shared" si="2"/>
        <v>0</v>
      </c>
      <c r="E32" s="4"/>
      <c r="F32" s="4">
        <f t="shared" si="3"/>
        <v>0</v>
      </c>
      <c r="G32" s="4">
        <f t="shared" si="4"/>
        <v>1800</v>
      </c>
      <c r="H32" s="4">
        <f t="shared" si="5"/>
        <v>0</v>
      </c>
      <c r="I32" s="4">
        <f t="shared" si="6"/>
        <v>42</v>
      </c>
      <c r="J32" s="4">
        <f t="shared" si="7"/>
        <v>50</v>
      </c>
      <c r="K32" s="4">
        <f t="shared" si="8"/>
        <v>0</v>
      </c>
      <c r="L32" s="4">
        <f t="shared" si="9"/>
        <v>0</v>
      </c>
      <c r="M32" s="4">
        <f t="shared" si="10"/>
        <v>106</v>
      </c>
      <c r="N32" s="4">
        <f t="shared" si="11"/>
        <v>0</v>
      </c>
      <c r="O32" s="4">
        <f t="shared" si="12"/>
        <v>0</v>
      </c>
      <c r="P32" s="4">
        <f t="shared" si="13"/>
        <v>1998</v>
      </c>
      <c r="Q32" s="4">
        <f t="shared" si="14"/>
        <v>-1998</v>
      </c>
      <c r="R32" s="4">
        <f t="shared" si="15"/>
        <v>0</v>
      </c>
      <c r="S32" s="4"/>
    </row>
    <row r="33" ht="15.75" customHeight="1">
      <c r="A33" s="4"/>
      <c r="B33" s="4"/>
      <c r="C33" s="4"/>
      <c r="D33" s="4">
        <f t="shared" si="2"/>
        <v>0</v>
      </c>
      <c r="E33" s="4"/>
      <c r="F33" s="4">
        <f t="shared" si="3"/>
        <v>0</v>
      </c>
      <c r="G33" s="4">
        <f t="shared" si="4"/>
        <v>1800</v>
      </c>
      <c r="H33" s="4">
        <f t="shared" si="5"/>
        <v>0</v>
      </c>
      <c r="I33" s="4">
        <f t="shared" si="6"/>
        <v>42</v>
      </c>
      <c r="J33" s="4">
        <f t="shared" si="7"/>
        <v>50</v>
      </c>
      <c r="K33" s="4">
        <f t="shared" si="8"/>
        <v>0</v>
      </c>
      <c r="L33" s="4">
        <f t="shared" si="9"/>
        <v>0</v>
      </c>
      <c r="M33" s="4">
        <f t="shared" si="10"/>
        <v>106</v>
      </c>
      <c r="N33" s="4">
        <f t="shared" si="11"/>
        <v>0</v>
      </c>
      <c r="O33" s="4">
        <f t="shared" si="12"/>
        <v>0</v>
      </c>
      <c r="P33" s="4">
        <f t="shared" si="13"/>
        <v>1998</v>
      </c>
      <c r="Q33" s="4">
        <f t="shared" si="14"/>
        <v>-1998</v>
      </c>
      <c r="R33" s="4">
        <f t="shared" si="15"/>
        <v>0</v>
      </c>
      <c r="S33" s="4"/>
    </row>
    <row r="34" ht="15.75" customHeight="1">
      <c r="A34" s="4"/>
      <c r="B34" s="4"/>
      <c r="C34" s="4"/>
      <c r="D34" s="4">
        <f t="shared" si="2"/>
        <v>0</v>
      </c>
      <c r="E34" s="4"/>
      <c r="F34" s="4">
        <f t="shared" si="3"/>
        <v>0</v>
      </c>
      <c r="G34" s="4">
        <f t="shared" si="4"/>
        <v>1800</v>
      </c>
      <c r="H34" s="4">
        <f t="shared" si="5"/>
        <v>0</v>
      </c>
      <c r="I34" s="4">
        <f t="shared" si="6"/>
        <v>42</v>
      </c>
      <c r="J34" s="4">
        <f t="shared" si="7"/>
        <v>50</v>
      </c>
      <c r="K34" s="4">
        <f t="shared" si="8"/>
        <v>0</v>
      </c>
      <c r="L34" s="4">
        <f t="shared" si="9"/>
        <v>0</v>
      </c>
      <c r="M34" s="4">
        <f t="shared" si="10"/>
        <v>106</v>
      </c>
      <c r="N34" s="4">
        <f t="shared" si="11"/>
        <v>0</v>
      </c>
      <c r="O34" s="4">
        <f t="shared" si="12"/>
        <v>0</v>
      </c>
      <c r="P34" s="4">
        <f t="shared" si="13"/>
        <v>1998</v>
      </c>
      <c r="Q34" s="4">
        <f t="shared" si="14"/>
        <v>-1998</v>
      </c>
      <c r="R34" s="4">
        <f t="shared" si="15"/>
        <v>0</v>
      </c>
      <c r="S34" s="4"/>
    </row>
    <row r="35" ht="15.75" customHeight="1">
      <c r="A35" s="4"/>
      <c r="B35" s="4"/>
      <c r="C35" s="4"/>
      <c r="D35" s="4">
        <f t="shared" si="2"/>
        <v>0</v>
      </c>
      <c r="E35" s="4"/>
      <c r="F35" s="4">
        <f t="shared" si="3"/>
        <v>0</v>
      </c>
      <c r="G35" s="4">
        <f t="shared" si="4"/>
        <v>1800</v>
      </c>
      <c r="H35" s="4">
        <f t="shared" si="5"/>
        <v>0</v>
      </c>
      <c r="I35" s="4">
        <f t="shared" si="6"/>
        <v>42</v>
      </c>
      <c r="J35" s="4">
        <f t="shared" si="7"/>
        <v>50</v>
      </c>
      <c r="K35" s="4">
        <f t="shared" si="8"/>
        <v>0</v>
      </c>
      <c r="L35" s="4">
        <f t="shared" si="9"/>
        <v>0</v>
      </c>
      <c r="M35" s="4">
        <f t="shared" si="10"/>
        <v>106</v>
      </c>
      <c r="N35" s="4">
        <f t="shared" si="11"/>
        <v>0</v>
      </c>
      <c r="O35" s="4">
        <f t="shared" si="12"/>
        <v>0</v>
      </c>
      <c r="P35" s="4">
        <f t="shared" si="13"/>
        <v>1998</v>
      </c>
      <c r="Q35" s="4">
        <f t="shared" si="14"/>
        <v>-1998</v>
      </c>
      <c r="R35" s="4">
        <f t="shared" si="15"/>
        <v>0</v>
      </c>
      <c r="S35" s="4"/>
    </row>
    <row r="36" ht="15.75" customHeight="1">
      <c r="A36" s="4"/>
      <c r="B36" s="4"/>
      <c r="C36" s="4"/>
      <c r="D36" s="4">
        <f t="shared" si="2"/>
        <v>0</v>
      </c>
      <c r="E36" s="4"/>
      <c r="F36" s="4">
        <f t="shared" si="3"/>
        <v>0</v>
      </c>
      <c r="G36" s="4">
        <f t="shared" si="4"/>
        <v>1800</v>
      </c>
      <c r="H36" s="4">
        <f t="shared" si="5"/>
        <v>0</v>
      </c>
      <c r="I36" s="4">
        <f t="shared" si="6"/>
        <v>42</v>
      </c>
      <c r="J36" s="4">
        <f t="shared" si="7"/>
        <v>50</v>
      </c>
      <c r="K36" s="4">
        <f t="shared" si="8"/>
        <v>0</v>
      </c>
      <c r="L36" s="4">
        <f t="shared" si="9"/>
        <v>0</v>
      </c>
      <c r="M36" s="4">
        <f t="shared" si="10"/>
        <v>106</v>
      </c>
      <c r="N36" s="4">
        <f t="shared" si="11"/>
        <v>0</v>
      </c>
      <c r="O36" s="4">
        <f t="shared" si="12"/>
        <v>0</v>
      </c>
      <c r="P36" s="4">
        <f t="shared" si="13"/>
        <v>1998</v>
      </c>
      <c r="Q36" s="4">
        <f t="shared" si="14"/>
        <v>-1998</v>
      </c>
      <c r="R36" s="4">
        <f t="shared" si="15"/>
        <v>0</v>
      </c>
      <c r="S36" s="4"/>
    </row>
    <row r="37" ht="15.75" customHeight="1">
      <c r="A37" s="4"/>
      <c r="B37" s="4"/>
      <c r="C37" s="4"/>
      <c r="D37" s="4">
        <f t="shared" si="2"/>
        <v>0</v>
      </c>
      <c r="E37" s="4"/>
      <c r="F37" s="4">
        <f t="shared" si="3"/>
        <v>0</v>
      </c>
      <c r="G37" s="4">
        <f t="shared" si="4"/>
        <v>1800</v>
      </c>
      <c r="H37" s="4">
        <f t="shared" si="5"/>
        <v>0</v>
      </c>
      <c r="I37" s="4">
        <f t="shared" si="6"/>
        <v>42</v>
      </c>
      <c r="J37" s="4">
        <f t="shared" si="7"/>
        <v>50</v>
      </c>
      <c r="K37" s="4">
        <f t="shared" si="8"/>
        <v>0</v>
      </c>
      <c r="L37" s="4">
        <f t="shared" si="9"/>
        <v>0</v>
      </c>
      <c r="M37" s="4">
        <f t="shared" si="10"/>
        <v>106</v>
      </c>
      <c r="N37" s="4">
        <f t="shared" si="11"/>
        <v>0</v>
      </c>
      <c r="O37" s="4">
        <f t="shared" si="12"/>
        <v>0</v>
      </c>
      <c r="P37" s="4">
        <f t="shared" si="13"/>
        <v>1998</v>
      </c>
      <c r="Q37" s="4">
        <f t="shared" si="14"/>
        <v>-1998</v>
      </c>
      <c r="R37" s="4">
        <f t="shared" si="15"/>
        <v>0</v>
      </c>
      <c r="S37" s="4"/>
    </row>
    <row r="38" ht="15.75" customHeight="1">
      <c r="A38" s="4"/>
      <c r="B38" s="4"/>
      <c r="C38" s="4"/>
      <c r="D38" s="4">
        <f t="shared" si="2"/>
        <v>0</v>
      </c>
      <c r="E38" s="4"/>
      <c r="F38" s="4">
        <f t="shared" si="3"/>
        <v>0</v>
      </c>
      <c r="G38" s="4">
        <f t="shared" si="4"/>
        <v>1800</v>
      </c>
      <c r="H38" s="4">
        <f t="shared" si="5"/>
        <v>0</v>
      </c>
      <c r="I38" s="4">
        <f t="shared" si="6"/>
        <v>42</v>
      </c>
      <c r="J38" s="4">
        <f t="shared" si="7"/>
        <v>50</v>
      </c>
      <c r="K38" s="4">
        <f t="shared" si="8"/>
        <v>0</v>
      </c>
      <c r="L38" s="4">
        <f t="shared" si="9"/>
        <v>0</v>
      </c>
      <c r="M38" s="4">
        <f t="shared" si="10"/>
        <v>106</v>
      </c>
      <c r="N38" s="4">
        <f t="shared" si="11"/>
        <v>0</v>
      </c>
      <c r="O38" s="4">
        <f t="shared" si="12"/>
        <v>0</v>
      </c>
      <c r="P38" s="4">
        <f t="shared" si="13"/>
        <v>1998</v>
      </c>
      <c r="Q38" s="4">
        <f t="shared" si="14"/>
        <v>-1998</v>
      </c>
      <c r="R38" s="4">
        <f t="shared" si="15"/>
        <v>0</v>
      </c>
      <c r="S38" s="4"/>
    </row>
    <row r="39" ht="15.75" customHeight="1">
      <c r="A39" s="4"/>
      <c r="B39" s="4"/>
      <c r="C39" s="4"/>
      <c r="D39" s="4">
        <f t="shared" si="2"/>
        <v>0</v>
      </c>
      <c r="E39" s="4"/>
      <c r="F39" s="4">
        <f t="shared" si="3"/>
        <v>0</v>
      </c>
      <c r="G39" s="4">
        <f t="shared" si="4"/>
        <v>1800</v>
      </c>
      <c r="H39" s="4">
        <f t="shared" si="5"/>
        <v>0</v>
      </c>
      <c r="I39" s="4">
        <f t="shared" si="6"/>
        <v>42</v>
      </c>
      <c r="J39" s="4">
        <f t="shared" si="7"/>
        <v>50</v>
      </c>
      <c r="K39" s="4">
        <f t="shared" si="8"/>
        <v>0</v>
      </c>
      <c r="L39" s="4">
        <f t="shared" si="9"/>
        <v>0</v>
      </c>
      <c r="M39" s="4">
        <f t="shared" si="10"/>
        <v>106</v>
      </c>
      <c r="N39" s="4">
        <f t="shared" si="11"/>
        <v>0</v>
      </c>
      <c r="O39" s="4">
        <f t="shared" si="12"/>
        <v>0</v>
      </c>
      <c r="P39" s="4">
        <f t="shared" si="13"/>
        <v>1998</v>
      </c>
      <c r="Q39" s="4">
        <f t="shared" si="14"/>
        <v>-1998</v>
      </c>
      <c r="R39" s="4">
        <f t="shared" si="15"/>
        <v>0</v>
      </c>
      <c r="S39" s="4"/>
    </row>
    <row r="40" ht="15.75" customHeight="1">
      <c r="A40" s="4"/>
      <c r="B40" s="4"/>
      <c r="C40" s="4"/>
      <c r="D40" s="4">
        <f t="shared" si="2"/>
        <v>0</v>
      </c>
      <c r="E40" s="4"/>
      <c r="F40" s="4">
        <f t="shared" si="3"/>
        <v>0</v>
      </c>
      <c r="G40" s="4">
        <f t="shared" si="4"/>
        <v>1800</v>
      </c>
      <c r="H40" s="4">
        <f t="shared" si="5"/>
        <v>0</v>
      </c>
      <c r="I40" s="4">
        <f t="shared" si="6"/>
        <v>42</v>
      </c>
      <c r="J40" s="4">
        <f t="shared" si="7"/>
        <v>50</v>
      </c>
      <c r="K40" s="4">
        <f t="shared" si="8"/>
        <v>0</v>
      </c>
      <c r="L40" s="4">
        <f t="shared" si="9"/>
        <v>0</v>
      </c>
      <c r="M40" s="4">
        <f t="shared" si="10"/>
        <v>106</v>
      </c>
      <c r="N40" s="4">
        <f t="shared" si="11"/>
        <v>0</v>
      </c>
      <c r="O40" s="4">
        <f t="shared" si="12"/>
        <v>0</v>
      </c>
      <c r="P40" s="4">
        <f t="shared" si="13"/>
        <v>1998</v>
      </c>
      <c r="Q40" s="4">
        <f t="shared" si="14"/>
        <v>-1998</v>
      </c>
      <c r="R40" s="4">
        <f t="shared" si="15"/>
        <v>0</v>
      </c>
      <c r="S40" s="4"/>
    </row>
    <row r="41" ht="15.75" customHeight="1">
      <c r="A41" s="4"/>
      <c r="B41" s="4"/>
      <c r="C41" s="4"/>
      <c r="D41" s="4">
        <f t="shared" si="2"/>
        <v>0</v>
      </c>
      <c r="E41" s="4"/>
      <c r="F41" s="4">
        <f t="shared" si="3"/>
        <v>0</v>
      </c>
      <c r="G41" s="4">
        <f t="shared" si="4"/>
        <v>1800</v>
      </c>
      <c r="H41" s="4">
        <f t="shared" si="5"/>
        <v>0</v>
      </c>
      <c r="I41" s="4">
        <f t="shared" si="6"/>
        <v>42</v>
      </c>
      <c r="J41" s="4">
        <f t="shared" si="7"/>
        <v>50</v>
      </c>
      <c r="K41" s="4">
        <f t="shared" si="8"/>
        <v>0</v>
      </c>
      <c r="L41" s="4">
        <f t="shared" si="9"/>
        <v>0</v>
      </c>
      <c r="M41" s="4">
        <f t="shared" si="10"/>
        <v>106</v>
      </c>
      <c r="N41" s="4">
        <f t="shared" si="11"/>
        <v>0</v>
      </c>
      <c r="O41" s="4">
        <f t="shared" si="12"/>
        <v>0</v>
      </c>
      <c r="P41" s="4">
        <f t="shared" si="13"/>
        <v>1998</v>
      </c>
      <c r="Q41" s="4">
        <f t="shared" si="14"/>
        <v>-1998</v>
      </c>
      <c r="R41" s="4">
        <f t="shared" si="15"/>
        <v>0</v>
      </c>
      <c r="S41" s="4"/>
    </row>
    <row r="42" ht="15.75" customHeight="1">
      <c r="A42" s="4"/>
      <c r="B42" s="4"/>
      <c r="C42" s="4"/>
      <c r="D42" s="4">
        <f t="shared" si="2"/>
        <v>0</v>
      </c>
      <c r="E42" s="4"/>
      <c r="F42" s="4">
        <f t="shared" si="3"/>
        <v>0</v>
      </c>
      <c r="G42" s="4">
        <f t="shared" si="4"/>
        <v>1800</v>
      </c>
      <c r="H42" s="4">
        <f t="shared" si="5"/>
        <v>0</v>
      </c>
      <c r="I42" s="4">
        <f t="shared" si="6"/>
        <v>42</v>
      </c>
      <c r="J42" s="4">
        <f t="shared" si="7"/>
        <v>50</v>
      </c>
      <c r="K42" s="4">
        <f t="shared" si="8"/>
        <v>0</v>
      </c>
      <c r="L42" s="4">
        <f t="shared" si="9"/>
        <v>0</v>
      </c>
      <c r="M42" s="4">
        <f t="shared" si="10"/>
        <v>106</v>
      </c>
      <c r="N42" s="4">
        <f t="shared" si="11"/>
        <v>0</v>
      </c>
      <c r="O42" s="4">
        <f t="shared" si="12"/>
        <v>0</v>
      </c>
      <c r="P42" s="4">
        <f t="shared" si="13"/>
        <v>1998</v>
      </c>
      <c r="Q42" s="4">
        <f t="shared" si="14"/>
        <v>-1998</v>
      </c>
      <c r="R42" s="4">
        <f t="shared" si="15"/>
        <v>0</v>
      </c>
      <c r="S42" s="4"/>
    </row>
    <row r="43" ht="15.75" customHeight="1">
      <c r="A43" s="4"/>
      <c r="B43" s="4"/>
      <c r="C43" s="4"/>
      <c r="D43" s="4">
        <f t="shared" si="2"/>
        <v>0</v>
      </c>
      <c r="E43" s="4"/>
      <c r="F43" s="4">
        <f t="shared" si="3"/>
        <v>0</v>
      </c>
      <c r="G43" s="4">
        <f t="shared" si="4"/>
        <v>1800</v>
      </c>
      <c r="H43" s="4">
        <f t="shared" si="5"/>
        <v>0</v>
      </c>
      <c r="I43" s="4">
        <f t="shared" si="6"/>
        <v>42</v>
      </c>
      <c r="J43" s="4">
        <f t="shared" si="7"/>
        <v>50</v>
      </c>
      <c r="K43" s="4">
        <f t="shared" si="8"/>
        <v>0</v>
      </c>
      <c r="L43" s="4">
        <f t="shared" si="9"/>
        <v>0</v>
      </c>
      <c r="M43" s="4">
        <f t="shared" si="10"/>
        <v>106</v>
      </c>
      <c r="N43" s="4">
        <f t="shared" si="11"/>
        <v>0</v>
      </c>
      <c r="O43" s="4">
        <f t="shared" si="12"/>
        <v>0</v>
      </c>
      <c r="P43" s="4">
        <f t="shared" si="13"/>
        <v>1998</v>
      </c>
      <c r="Q43" s="4">
        <f t="shared" si="14"/>
        <v>-1998</v>
      </c>
      <c r="R43" s="4">
        <f t="shared" si="15"/>
        <v>0</v>
      </c>
      <c r="S43" s="4"/>
    </row>
    <row r="44" ht="15.75" customHeight="1">
      <c r="A44" s="4"/>
      <c r="B44" s="4"/>
      <c r="C44" s="4"/>
      <c r="D44" s="4">
        <f t="shared" si="2"/>
        <v>0</v>
      </c>
      <c r="E44" s="4"/>
      <c r="F44" s="4">
        <f t="shared" si="3"/>
        <v>0</v>
      </c>
      <c r="G44" s="4">
        <f t="shared" si="4"/>
        <v>1800</v>
      </c>
      <c r="H44" s="4">
        <f t="shared" si="5"/>
        <v>0</v>
      </c>
      <c r="I44" s="4">
        <f t="shared" si="6"/>
        <v>42</v>
      </c>
      <c r="J44" s="4">
        <f t="shared" si="7"/>
        <v>50</v>
      </c>
      <c r="K44" s="4">
        <f t="shared" si="8"/>
        <v>0</v>
      </c>
      <c r="L44" s="4">
        <f t="shared" si="9"/>
        <v>0</v>
      </c>
      <c r="M44" s="4">
        <f t="shared" si="10"/>
        <v>106</v>
      </c>
      <c r="N44" s="4">
        <f t="shared" si="11"/>
        <v>0</v>
      </c>
      <c r="O44" s="4">
        <f t="shared" si="12"/>
        <v>0</v>
      </c>
      <c r="P44" s="4">
        <f t="shared" si="13"/>
        <v>1998</v>
      </c>
      <c r="Q44" s="4">
        <f t="shared" si="14"/>
        <v>-1998</v>
      </c>
      <c r="R44" s="4">
        <f t="shared" si="15"/>
        <v>0</v>
      </c>
      <c r="S44" s="4"/>
    </row>
    <row r="45" ht="15.75" customHeight="1">
      <c r="A45" s="4"/>
      <c r="B45" s="4"/>
      <c r="C45" s="4"/>
      <c r="D45" s="4">
        <f t="shared" si="2"/>
        <v>0</v>
      </c>
      <c r="E45" s="4"/>
      <c r="F45" s="4">
        <f t="shared" si="3"/>
        <v>0</v>
      </c>
      <c r="G45" s="4">
        <f t="shared" si="4"/>
        <v>1800</v>
      </c>
      <c r="H45" s="4">
        <f t="shared" si="5"/>
        <v>0</v>
      </c>
      <c r="I45" s="4">
        <f t="shared" si="6"/>
        <v>42</v>
      </c>
      <c r="J45" s="4">
        <f t="shared" si="7"/>
        <v>50</v>
      </c>
      <c r="K45" s="4">
        <f t="shared" si="8"/>
        <v>0</v>
      </c>
      <c r="L45" s="4">
        <f t="shared" si="9"/>
        <v>0</v>
      </c>
      <c r="M45" s="4">
        <f t="shared" si="10"/>
        <v>106</v>
      </c>
      <c r="N45" s="4">
        <f t="shared" si="11"/>
        <v>0</v>
      </c>
      <c r="O45" s="4">
        <f t="shared" si="12"/>
        <v>0</v>
      </c>
      <c r="P45" s="4">
        <f t="shared" si="13"/>
        <v>1998</v>
      </c>
      <c r="Q45" s="4">
        <f t="shared" si="14"/>
        <v>-1998</v>
      </c>
      <c r="R45" s="4">
        <f t="shared" si="15"/>
        <v>0</v>
      </c>
      <c r="S45" s="4"/>
    </row>
    <row r="46" ht="15.75" customHeight="1">
      <c r="A46" s="4"/>
      <c r="B46" s="4"/>
      <c r="C46" s="4"/>
      <c r="D46" s="4">
        <f t="shared" si="2"/>
        <v>0</v>
      </c>
      <c r="E46" s="4"/>
      <c r="F46" s="4">
        <f t="shared" si="3"/>
        <v>0</v>
      </c>
      <c r="G46" s="4">
        <f t="shared" si="4"/>
        <v>1800</v>
      </c>
      <c r="H46" s="4">
        <f t="shared" si="5"/>
        <v>0</v>
      </c>
      <c r="I46" s="4">
        <f t="shared" si="6"/>
        <v>42</v>
      </c>
      <c r="J46" s="4">
        <f t="shared" si="7"/>
        <v>50</v>
      </c>
      <c r="K46" s="4">
        <f t="shared" si="8"/>
        <v>0</v>
      </c>
      <c r="L46" s="4">
        <f t="shared" si="9"/>
        <v>0</v>
      </c>
      <c r="M46" s="4">
        <f t="shared" si="10"/>
        <v>106</v>
      </c>
      <c r="N46" s="4">
        <f t="shared" si="11"/>
        <v>0</v>
      </c>
      <c r="O46" s="4">
        <f t="shared" si="12"/>
        <v>0</v>
      </c>
      <c r="P46" s="4">
        <f t="shared" si="13"/>
        <v>1998</v>
      </c>
      <c r="Q46" s="4">
        <f t="shared" si="14"/>
        <v>-1998</v>
      </c>
      <c r="R46" s="4">
        <f t="shared" si="15"/>
        <v>0</v>
      </c>
      <c r="S46" s="4"/>
    </row>
    <row r="47" ht="15.75" customHeight="1">
      <c r="A47" s="4"/>
      <c r="B47" s="4"/>
      <c r="C47" s="4"/>
      <c r="D47" s="4">
        <f t="shared" si="2"/>
        <v>0</v>
      </c>
      <c r="E47" s="4"/>
      <c r="F47" s="4">
        <f t="shared" si="3"/>
        <v>0</v>
      </c>
      <c r="G47" s="4">
        <f t="shared" si="4"/>
        <v>1800</v>
      </c>
      <c r="H47" s="4">
        <f t="shared" si="5"/>
        <v>0</v>
      </c>
      <c r="I47" s="4">
        <f t="shared" si="6"/>
        <v>42</v>
      </c>
      <c r="J47" s="4">
        <f t="shared" si="7"/>
        <v>50</v>
      </c>
      <c r="K47" s="4">
        <f t="shared" si="8"/>
        <v>0</v>
      </c>
      <c r="L47" s="4">
        <f t="shared" si="9"/>
        <v>0</v>
      </c>
      <c r="M47" s="4">
        <f t="shared" si="10"/>
        <v>106</v>
      </c>
      <c r="N47" s="4">
        <f t="shared" si="11"/>
        <v>0</v>
      </c>
      <c r="O47" s="4">
        <f t="shared" si="12"/>
        <v>0</v>
      </c>
      <c r="P47" s="4">
        <f t="shared" si="13"/>
        <v>1998</v>
      </c>
      <c r="Q47" s="4">
        <f t="shared" si="14"/>
        <v>-1998</v>
      </c>
      <c r="R47" s="4">
        <f t="shared" si="15"/>
        <v>0</v>
      </c>
      <c r="S47" s="4"/>
    </row>
    <row r="48" ht="15.75" customHeight="1">
      <c r="A48" s="4"/>
      <c r="B48" s="4"/>
      <c r="C48" s="4"/>
      <c r="D48" s="4">
        <f t="shared" si="2"/>
        <v>0</v>
      </c>
      <c r="E48" s="4"/>
      <c r="F48" s="4">
        <f t="shared" si="3"/>
        <v>0</v>
      </c>
      <c r="G48" s="4">
        <f t="shared" si="4"/>
        <v>1800</v>
      </c>
      <c r="H48" s="4">
        <f t="shared" si="5"/>
        <v>0</v>
      </c>
      <c r="I48" s="4">
        <f t="shared" si="6"/>
        <v>42</v>
      </c>
      <c r="J48" s="4">
        <f t="shared" si="7"/>
        <v>50</v>
      </c>
      <c r="K48" s="4">
        <f t="shared" si="8"/>
        <v>0</v>
      </c>
      <c r="L48" s="4">
        <f t="shared" si="9"/>
        <v>0</v>
      </c>
      <c r="M48" s="4">
        <f t="shared" si="10"/>
        <v>106</v>
      </c>
      <c r="N48" s="4">
        <f t="shared" si="11"/>
        <v>0</v>
      </c>
      <c r="O48" s="4">
        <f t="shared" si="12"/>
        <v>0</v>
      </c>
      <c r="P48" s="4">
        <f t="shared" si="13"/>
        <v>1998</v>
      </c>
      <c r="Q48" s="4">
        <f t="shared" si="14"/>
        <v>-1998</v>
      </c>
      <c r="R48" s="4">
        <f t="shared" si="15"/>
        <v>0</v>
      </c>
      <c r="S48" s="4"/>
    </row>
    <row r="49" ht="15.75" customHeight="1">
      <c r="A49" s="4"/>
      <c r="B49" s="4"/>
      <c r="C49" s="4"/>
      <c r="D49" s="4">
        <f t="shared" si="2"/>
        <v>0</v>
      </c>
      <c r="E49" s="4"/>
      <c r="F49" s="4">
        <f t="shared" si="3"/>
        <v>0</v>
      </c>
      <c r="G49" s="4">
        <f t="shared" si="4"/>
        <v>1800</v>
      </c>
      <c r="H49" s="4">
        <f t="shared" si="5"/>
        <v>0</v>
      </c>
      <c r="I49" s="4">
        <f t="shared" si="6"/>
        <v>42</v>
      </c>
      <c r="J49" s="4">
        <f t="shared" si="7"/>
        <v>50</v>
      </c>
      <c r="K49" s="4">
        <f t="shared" si="8"/>
        <v>0</v>
      </c>
      <c r="L49" s="4">
        <f t="shared" si="9"/>
        <v>0</v>
      </c>
      <c r="M49" s="4">
        <f t="shared" si="10"/>
        <v>106</v>
      </c>
      <c r="N49" s="4">
        <f t="shared" si="11"/>
        <v>0</v>
      </c>
      <c r="O49" s="4">
        <f t="shared" si="12"/>
        <v>0</v>
      </c>
      <c r="P49" s="4">
        <f t="shared" si="13"/>
        <v>1998</v>
      </c>
      <c r="Q49" s="4">
        <f t="shared" si="14"/>
        <v>-1998</v>
      </c>
      <c r="R49" s="4">
        <f t="shared" si="15"/>
        <v>0</v>
      </c>
      <c r="S49" s="4"/>
    </row>
    <row r="50" ht="15.75" customHeight="1">
      <c r="A50" s="4"/>
      <c r="B50" s="4"/>
      <c r="C50" s="4"/>
      <c r="D50" s="4">
        <f t="shared" si="2"/>
        <v>0</v>
      </c>
      <c r="E50" s="4"/>
      <c r="F50" s="4">
        <f t="shared" si="3"/>
        <v>0</v>
      </c>
      <c r="G50" s="4">
        <f t="shared" si="4"/>
        <v>1800</v>
      </c>
      <c r="H50" s="4">
        <f t="shared" si="5"/>
        <v>0</v>
      </c>
      <c r="I50" s="4">
        <f t="shared" si="6"/>
        <v>42</v>
      </c>
      <c r="J50" s="4">
        <f t="shared" si="7"/>
        <v>50</v>
      </c>
      <c r="K50" s="4">
        <f t="shared" si="8"/>
        <v>0</v>
      </c>
      <c r="L50" s="4">
        <f t="shared" si="9"/>
        <v>0</v>
      </c>
      <c r="M50" s="4">
        <f t="shared" si="10"/>
        <v>106</v>
      </c>
      <c r="N50" s="4">
        <f t="shared" si="11"/>
        <v>0</v>
      </c>
      <c r="O50" s="4">
        <f t="shared" si="12"/>
        <v>0</v>
      </c>
      <c r="P50" s="4">
        <f t="shared" si="13"/>
        <v>1998</v>
      </c>
      <c r="Q50" s="4">
        <f t="shared" si="14"/>
        <v>-1998</v>
      </c>
      <c r="R50" s="4">
        <f t="shared" si="15"/>
        <v>0</v>
      </c>
      <c r="S50" s="4"/>
    </row>
    <row r="51" ht="15.75" customHeight="1">
      <c r="A51" s="4"/>
      <c r="B51" s="4"/>
      <c r="C51" s="4"/>
      <c r="D51" s="4">
        <f t="shared" si="2"/>
        <v>0</v>
      </c>
      <c r="E51" s="4"/>
      <c r="F51" s="4">
        <f t="shared" si="3"/>
        <v>0</v>
      </c>
      <c r="G51" s="4">
        <f t="shared" si="4"/>
        <v>1800</v>
      </c>
      <c r="H51" s="4">
        <f t="shared" si="5"/>
        <v>0</v>
      </c>
      <c r="I51" s="4">
        <f t="shared" si="6"/>
        <v>42</v>
      </c>
      <c r="J51" s="4">
        <f t="shared" si="7"/>
        <v>50</v>
      </c>
      <c r="K51" s="4">
        <f t="shared" si="8"/>
        <v>0</v>
      </c>
      <c r="L51" s="4">
        <f t="shared" si="9"/>
        <v>0</v>
      </c>
      <c r="M51" s="4">
        <f t="shared" si="10"/>
        <v>106</v>
      </c>
      <c r="N51" s="4">
        <f t="shared" si="11"/>
        <v>0</v>
      </c>
      <c r="O51" s="4">
        <f t="shared" si="12"/>
        <v>0</v>
      </c>
      <c r="P51" s="4">
        <f t="shared" si="13"/>
        <v>1998</v>
      </c>
      <c r="Q51" s="4">
        <f t="shared" si="14"/>
        <v>-1998</v>
      </c>
      <c r="R51" s="4">
        <f t="shared" si="15"/>
        <v>0</v>
      </c>
      <c r="S51" s="4"/>
    </row>
    <row r="52" ht="15.75" customHeight="1">
      <c r="A52" s="4"/>
      <c r="B52" s="4"/>
      <c r="C52" s="4"/>
      <c r="D52" s="4">
        <f t="shared" si="2"/>
        <v>0</v>
      </c>
      <c r="E52" s="4"/>
      <c r="F52" s="4">
        <f t="shared" si="3"/>
        <v>0</v>
      </c>
      <c r="G52" s="4">
        <f t="shared" si="4"/>
        <v>1800</v>
      </c>
      <c r="H52" s="4">
        <f t="shared" si="5"/>
        <v>0</v>
      </c>
      <c r="I52" s="4">
        <f t="shared" si="6"/>
        <v>42</v>
      </c>
      <c r="J52" s="4">
        <f t="shared" si="7"/>
        <v>50</v>
      </c>
      <c r="K52" s="4">
        <f t="shared" si="8"/>
        <v>0</v>
      </c>
      <c r="L52" s="4">
        <f t="shared" si="9"/>
        <v>0</v>
      </c>
      <c r="M52" s="4">
        <f t="shared" si="10"/>
        <v>106</v>
      </c>
      <c r="N52" s="4">
        <f t="shared" si="11"/>
        <v>0</v>
      </c>
      <c r="O52" s="4">
        <f t="shared" si="12"/>
        <v>0</v>
      </c>
      <c r="P52" s="4">
        <f t="shared" si="13"/>
        <v>1998</v>
      </c>
      <c r="Q52" s="4">
        <f t="shared" si="14"/>
        <v>-1998</v>
      </c>
      <c r="R52" s="4">
        <f t="shared" si="15"/>
        <v>0</v>
      </c>
      <c r="S52" s="4"/>
    </row>
    <row r="53" ht="15.75" customHeight="1">
      <c r="A53" s="4"/>
      <c r="B53" s="4"/>
      <c r="C53" s="4"/>
      <c r="D53" s="4">
        <f t="shared" si="2"/>
        <v>0</v>
      </c>
      <c r="E53" s="4"/>
      <c r="F53" s="4">
        <f t="shared" si="3"/>
        <v>0</v>
      </c>
      <c r="G53" s="4">
        <f t="shared" si="4"/>
        <v>1800</v>
      </c>
      <c r="H53" s="4">
        <f t="shared" si="5"/>
        <v>0</v>
      </c>
      <c r="I53" s="4">
        <f t="shared" si="6"/>
        <v>42</v>
      </c>
      <c r="J53" s="4">
        <f t="shared" si="7"/>
        <v>50</v>
      </c>
      <c r="K53" s="4">
        <f t="shared" si="8"/>
        <v>0</v>
      </c>
      <c r="L53" s="4">
        <f t="shared" si="9"/>
        <v>0</v>
      </c>
      <c r="M53" s="4">
        <f t="shared" si="10"/>
        <v>106</v>
      </c>
      <c r="N53" s="4">
        <f t="shared" si="11"/>
        <v>0</v>
      </c>
      <c r="O53" s="4">
        <f t="shared" si="12"/>
        <v>0</v>
      </c>
      <c r="P53" s="4">
        <f t="shared" si="13"/>
        <v>1998</v>
      </c>
      <c r="Q53" s="4">
        <f t="shared" si="14"/>
        <v>-1998</v>
      </c>
      <c r="R53" s="4">
        <f t="shared" si="15"/>
        <v>0</v>
      </c>
      <c r="S53" s="4"/>
    </row>
    <row r="54" ht="15.75" customHeight="1">
      <c r="A54" s="4"/>
      <c r="B54" s="4"/>
      <c r="C54" s="4"/>
      <c r="D54" s="4">
        <f t="shared" si="2"/>
        <v>0</v>
      </c>
      <c r="E54" s="4"/>
      <c r="F54" s="4">
        <f t="shared" si="3"/>
        <v>0</v>
      </c>
      <c r="G54" s="4">
        <f t="shared" si="4"/>
        <v>1800</v>
      </c>
      <c r="H54" s="4">
        <f t="shared" si="5"/>
        <v>0</v>
      </c>
      <c r="I54" s="4">
        <f t="shared" si="6"/>
        <v>42</v>
      </c>
      <c r="J54" s="4">
        <f t="shared" si="7"/>
        <v>50</v>
      </c>
      <c r="K54" s="4">
        <f t="shared" si="8"/>
        <v>0</v>
      </c>
      <c r="L54" s="4">
        <f t="shared" si="9"/>
        <v>0</v>
      </c>
      <c r="M54" s="4">
        <f t="shared" si="10"/>
        <v>106</v>
      </c>
      <c r="N54" s="4">
        <f t="shared" si="11"/>
        <v>0</v>
      </c>
      <c r="O54" s="4">
        <f t="shared" si="12"/>
        <v>0</v>
      </c>
      <c r="P54" s="4">
        <f t="shared" si="13"/>
        <v>1998</v>
      </c>
      <c r="Q54" s="4">
        <f t="shared" si="14"/>
        <v>-1998</v>
      </c>
      <c r="R54" s="4">
        <f t="shared" si="15"/>
        <v>0</v>
      </c>
      <c r="S54" s="4"/>
    </row>
    <row r="55" ht="15.75" customHeight="1">
      <c r="A55" s="4"/>
      <c r="B55" s="4"/>
      <c r="C55" s="4"/>
      <c r="D55" s="4">
        <f t="shared" si="2"/>
        <v>0</v>
      </c>
      <c r="E55" s="4"/>
      <c r="F55" s="4">
        <f t="shared" si="3"/>
        <v>0</v>
      </c>
      <c r="G55" s="4">
        <f t="shared" si="4"/>
        <v>1800</v>
      </c>
      <c r="H55" s="4">
        <f t="shared" si="5"/>
        <v>0</v>
      </c>
      <c r="I55" s="4">
        <f t="shared" si="6"/>
        <v>42</v>
      </c>
      <c r="J55" s="4">
        <f t="shared" si="7"/>
        <v>50</v>
      </c>
      <c r="K55" s="4">
        <f t="shared" si="8"/>
        <v>0</v>
      </c>
      <c r="L55" s="4">
        <f t="shared" si="9"/>
        <v>0</v>
      </c>
      <c r="M55" s="4">
        <f t="shared" si="10"/>
        <v>106</v>
      </c>
      <c r="N55" s="4">
        <f t="shared" si="11"/>
        <v>0</v>
      </c>
      <c r="O55" s="4">
        <f t="shared" si="12"/>
        <v>0</v>
      </c>
      <c r="P55" s="4">
        <f t="shared" si="13"/>
        <v>1998</v>
      </c>
      <c r="Q55" s="4">
        <f t="shared" si="14"/>
        <v>-1998</v>
      </c>
      <c r="R55" s="4">
        <f t="shared" si="15"/>
        <v>0</v>
      </c>
      <c r="S55" s="4"/>
    </row>
    <row r="56" ht="15.75" customHeight="1">
      <c r="A56" s="4"/>
      <c r="B56" s="4"/>
      <c r="C56" s="4"/>
      <c r="D56" s="4">
        <f t="shared" si="2"/>
        <v>0</v>
      </c>
      <c r="E56" s="4"/>
      <c r="F56" s="4">
        <f t="shared" si="3"/>
        <v>0</v>
      </c>
      <c r="G56" s="4">
        <f t="shared" si="4"/>
        <v>1800</v>
      </c>
      <c r="H56" s="4">
        <f t="shared" si="5"/>
        <v>0</v>
      </c>
      <c r="I56" s="4">
        <f t="shared" si="6"/>
        <v>42</v>
      </c>
      <c r="J56" s="4">
        <f t="shared" si="7"/>
        <v>50</v>
      </c>
      <c r="K56" s="4">
        <f t="shared" si="8"/>
        <v>0</v>
      </c>
      <c r="L56" s="4">
        <f t="shared" si="9"/>
        <v>0</v>
      </c>
      <c r="M56" s="4">
        <f t="shared" si="10"/>
        <v>106</v>
      </c>
      <c r="N56" s="4">
        <f t="shared" si="11"/>
        <v>0</v>
      </c>
      <c r="O56" s="4">
        <f t="shared" si="12"/>
        <v>0</v>
      </c>
      <c r="P56" s="4">
        <f t="shared" si="13"/>
        <v>1998</v>
      </c>
      <c r="Q56" s="4">
        <f t="shared" si="14"/>
        <v>-1998</v>
      </c>
      <c r="R56" s="4">
        <f t="shared" si="15"/>
        <v>0</v>
      </c>
      <c r="S56" s="4"/>
    </row>
    <row r="57" ht="15.75" customHeight="1">
      <c r="A57" s="4"/>
      <c r="B57" s="4"/>
      <c r="C57" s="4"/>
      <c r="D57" s="4">
        <f t="shared" si="2"/>
        <v>0</v>
      </c>
      <c r="E57" s="4"/>
      <c r="F57" s="4">
        <f t="shared" si="3"/>
        <v>0</v>
      </c>
      <c r="G57" s="4">
        <f t="shared" si="4"/>
        <v>1800</v>
      </c>
      <c r="H57" s="4">
        <f t="shared" si="5"/>
        <v>0</v>
      </c>
      <c r="I57" s="4">
        <f t="shared" si="6"/>
        <v>42</v>
      </c>
      <c r="J57" s="4">
        <f t="shared" si="7"/>
        <v>50</v>
      </c>
      <c r="K57" s="4">
        <f t="shared" si="8"/>
        <v>0</v>
      </c>
      <c r="L57" s="4">
        <f t="shared" si="9"/>
        <v>0</v>
      </c>
      <c r="M57" s="4">
        <f t="shared" si="10"/>
        <v>106</v>
      </c>
      <c r="N57" s="4">
        <f t="shared" si="11"/>
        <v>0</v>
      </c>
      <c r="O57" s="4">
        <f t="shared" si="12"/>
        <v>0</v>
      </c>
      <c r="P57" s="4">
        <f t="shared" si="13"/>
        <v>1998</v>
      </c>
      <c r="Q57" s="4">
        <f t="shared" si="14"/>
        <v>-1998</v>
      </c>
      <c r="R57" s="4">
        <f t="shared" si="15"/>
        <v>0</v>
      </c>
      <c r="S57" s="4"/>
    </row>
    <row r="58" ht="15.75" customHeight="1">
      <c r="A58" s="4"/>
      <c r="B58" s="4"/>
      <c r="C58" s="4"/>
      <c r="D58" s="4">
        <f t="shared" si="2"/>
        <v>0</v>
      </c>
      <c r="E58" s="4"/>
      <c r="F58" s="4">
        <f t="shared" si="3"/>
        <v>0</v>
      </c>
      <c r="G58" s="4">
        <f t="shared" si="4"/>
        <v>1800</v>
      </c>
      <c r="H58" s="4">
        <f t="shared" si="5"/>
        <v>0</v>
      </c>
      <c r="I58" s="4">
        <f t="shared" si="6"/>
        <v>42</v>
      </c>
      <c r="J58" s="4">
        <f t="shared" si="7"/>
        <v>50</v>
      </c>
      <c r="K58" s="4">
        <f t="shared" si="8"/>
        <v>0</v>
      </c>
      <c r="L58" s="4">
        <f t="shared" si="9"/>
        <v>0</v>
      </c>
      <c r="M58" s="4">
        <f t="shared" si="10"/>
        <v>106</v>
      </c>
      <c r="N58" s="4">
        <f t="shared" si="11"/>
        <v>0</v>
      </c>
      <c r="O58" s="4">
        <f t="shared" si="12"/>
        <v>0</v>
      </c>
      <c r="P58" s="4">
        <f t="shared" si="13"/>
        <v>1998</v>
      </c>
      <c r="Q58" s="4">
        <f t="shared" si="14"/>
        <v>-1998</v>
      </c>
      <c r="R58" s="4">
        <f t="shared" si="15"/>
        <v>0</v>
      </c>
      <c r="S58" s="4"/>
    </row>
    <row r="59" ht="15.75" customHeight="1">
      <c r="A59" s="4"/>
      <c r="B59" s="4"/>
      <c r="C59" s="4"/>
      <c r="D59" s="4">
        <f t="shared" si="2"/>
        <v>0</v>
      </c>
      <c r="E59" s="4"/>
      <c r="F59" s="4">
        <f t="shared" si="3"/>
        <v>0</v>
      </c>
      <c r="G59" s="4">
        <f t="shared" si="4"/>
        <v>1800</v>
      </c>
      <c r="H59" s="4">
        <f t="shared" si="5"/>
        <v>0</v>
      </c>
      <c r="I59" s="4">
        <f t="shared" si="6"/>
        <v>42</v>
      </c>
      <c r="J59" s="4">
        <f t="shared" si="7"/>
        <v>50</v>
      </c>
      <c r="K59" s="4">
        <f t="shared" si="8"/>
        <v>0</v>
      </c>
      <c r="L59" s="4">
        <f t="shared" si="9"/>
        <v>0</v>
      </c>
      <c r="M59" s="4">
        <f t="shared" si="10"/>
        <v>106</v>
      </c>
      <c r="N59" s="4">
        <f t="shared" si="11"/>
        <v>0</v>
      </c>
      <c r="O59" s="4">
        <f t="shared" si="12"/>
        <v>0</v>
      </c>
      <c r="P59" s="4">
        <f t="shared" si="13"/>
        <v>1998</v>
      </c>
      <c r="Q59" s="4">
        <f t="shared" si="14"/>
        <v>-1998</v>
      </c>
      <c r="R59" s="4">
        <f t="shared" si="15"/>
        <v>0</v>
      </c>
      <c r="S59" s="4"/>
    </row>
    <row r="60" ht="15.75" customHeight="1">
      <c r="A60" s="4"/>
      <c r="B60" s="4"/>
      <c r="C60" s="4"/>
      <c r="D60" s="4">
        <f t="shared" si="2"/>
        <v>0</v>
      </c>
      <c r="E60" s="4"/>
      <c r="F60" s="4">
        <f t="shared" si="3"/>
        <v>0</v>
      </c>
      <c r="G60" s="4">
        <f t="shared" si="4"/>
        <v>1800</v>
      </c>
      <c r="H60" s="4">
        <f t="shared" si="5"/>
        <v>0</v>
      </c>
      <c r="I60" s="4">
        <f t="shared" si="6"/>
        <v>42</v>
      </c>
      <c r="J60" s="4">
        <f t="shared" si="7"/>
        <v>50</v>
      </c>
      <c r="K60" s="4">
        <f t="shared" si="8"/>
        <v>0</v>
      </c>
      <c r="L60" s="4">
        <f t="shared" si="9"/>
        <v>0</v>
      </c>
      <c r="M60" s="4">
        <f t="shared" si="10"/>
        <v>106</v>
      </c>
      <c r="N60" s="4">
        <f t="shared" si="11"/>
        <v>0</v>
      </c>
      <c r="O60" s="4">
        <f t="shared" si="12"/>
        <v>0</v>
      </c>
      <c r="P60" s="4">
        <f t="shared" si="13"/>
        <v>1998</v>
      </c>
      <c r="Q60" s="4">
        <f t="shared" si="14"/>
        <v>-1998</v>
      </c>
      <c r="R60" s="4">
        <f t="shared" si="15"/>
        <v>0</v>
      </c>
      <c r="S60" s="4"/>
    </row>
    <row r="61" ht="15.75" customHeight="1">
      <c r="A61" s="4"/>
      <c r="B61" s="4"/>
      <c r="C61" s="4"/>
      <c r="D61" s="4">
        <f t="shared" si="2"/>
        <v>0</v>
      </c>
      <c r="E61" s="4"/>
      <c r="F61" s="4">
        <f t="shared" si="3"/>
        <v>0</v>
      </c>
      <c r="G61" s="4">
        <f t="shared" si="4"/>
        <v>1800</v>
      </c>
      <c r="H61" s="4">
        <f t="shared" si="5"/>
        <v>0</v>
      </c>
      <c r="I61" s="4">
        <f t="shared" si="6"/>
        <v>42</v>
      </c>
      <c r="J61" s="4">
        <f t="shared" si="7"/>
        <v>50</v>
      </c>
      <c r="K61" s="4">
        <f t="shared" si="8"/>
        <v>0</v>
      </c>
      <c r="L61" s="4">
        <f t="shared" si="9"/>
        <v>0</v>
      </c>
      <c r="M61" s="4">
        <f t="shared" si="10"/>
        <v>106</v>
      </c>
      <c r="N61" s="4">
        <f t="shared" si="11"/>
        <v>0</v>
      </c>
      <c r="O61" s="4">
        <f t="shared" si="12"/>
        <v>0</v>
      </c>
      <c r="P61" s="4">
        <f t="shared" si="13"/>
        <v>1998</v>
      </c>
      <c r="Q61" s="4">
        <f t="shared" si="14"/>
        <v>-1998</v>
      </c>
      <c r="R61" s="4">
        <f t="shared" si="15"/>
        <v>0</v>
      </c>
      <c r="S61" s="4"/>
    </row>
    <row r="62" ht="15.75" customHeight="1">
      <c r="A62" s="4"/>
      <c r="B62" s="4"/>
      <c r="C62" s="4"/>
      <c r="D62" s="4">
        <f t="shared" si="2"/>
        <v>0</v>
      </c>
      <c r="E62" s="4"/>
      <c r="F62" s="4">
        <f t="shared" si="3"/>
        <v>0</v>
      </c>
      <c r="G62" s="4">
        <f t="shared" si="4"/>
        <v>1800</v>
      </c>
      <c r="H62" s="4">
        <f t="shared" si="5"/>
        <v>0</v>
      </c>
      <c r="I62" s="4">
        <f t="shared" si="6"/>
        <v>42</v>
      </c>
      <c r="J62" s="4">
        <f t="shared" si="7"/>
        <v>50</v>
      </c>
      <c r="K62" s="4">
        <f t="shared" si="8"/>
        <v>0</v>
      </c>
      <c r="L62" s="4">
        <f t="shared" si="9"/>
        <v>0</v>
      </c>
      <c r="M62" s="4">
        <f t="shared" si="10"/>
        <v>106</v>
      </c>
      <c r="N62" s="4">
        <f t="shared" si="11"/>
        <v>0</v>
      </c>
      <c r="O62" s="4">
        <f t="shared" si="12"/>
        <v>0</v>
      </c>
      <c r="P62" s="4">
        <f t="shared" si="13"/>
        <v>1998</v>
      </c>
      <c r="Q62" s="4">
        <f t="shared" si="14"/>
        <v>-1998</v>
      </c>
      <c r="R62" s="4">
        <f t="shared" si="15"/>
        <v>0</v>
      </c>
      <c r="S62" s="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13:Q62">
    <cfRule type="cellIs" dxfId="0" priority="1" operator="greaterThan">
      <formula>0</formula>
    </cfRule>
  </conditionalFormatting>
  <conditionalFormatting sqref="Q13:Q62">
    <cfRule type="cellIs" dxfId="1" priority="2" operator="lessThan">
      <formula>0</formula>
    </cfRule>
  </conditionalFormatting>
  <dataValidations>
    <dataValidation type="list" allowBlank="1" showErrorMessage="1" sqref="C13:C62">
      <formula1>$J$5:$J$6</formula1>
    </dataValidation>
    <dataValidation type="decimal" allowBlank="1" showErrorMessage="1" sqref="S13:S62">
      <formula1>1.0</formula1>
      <formula2>12.0</formula2>
    </dataValidation>
    <dataValidation type="list" allowBlank="1" showErrorMessage="1" sqref="B13:B62">
      <formula1>$D$6:$D$9</formula1>
    </dataValidation>
  </dataValidations>
  <printOptions/>
  <pageMargins bottom="1.0" footer="0.0" header="0.0" left="0.75" right="0.75" top="1.0"/>
  <pageSetup orientation="landscape"/>
  <drawing r:id="rId1"/>
</worksheet>
</file>